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17.xml"/>
  <Override ContentType="application/vnd.openxmlformats-officedocument.spreadsheetml.table+xml" PartName="/xl/tables/table59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100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109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15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120.xml"/>
  <Override ContentType="application/vnd.openxmlformats-officedocument.spreadsheetml.table+xml" PartName="/xl/tables/table16.xml"/>
  <Override ContentType="application/vnd.openxmlformats-officedocument.spreadsheetml.table+xml" PartName="/xl/tables/table77.xml"/>
  <Override ContentType="application/vnd.openxmlformats-officedocument.spreadsheetml.table+xml" PartName="/xl/tables/table104.xml"/>
  <Override ContentType="application/vnd.openxmlformats-officedocument.spreadsheetml.table+xml" PartName="/xl/tables/table29.xml"/>
  <Override ContentType="application/vnd.openxmlformats-officedocument.spreadsheetml.table+xml" PartName="/xl/tables/table112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9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119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10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98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table+xml" PartName="/xl/tables/table92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5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118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78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7.xml"/>
  <Override ContentType="application/vnd.openxmlformats-officedocument.spreadsheetml.table+xml" PartName="/xl/tables/table21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71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111.xml"/>
  <Override ContentType="application/vnd.openxmlformats-officedocument.spreadsheetml.table+xml" PartName="/xl/tables/table3.xml"/>
  <Override ContentType="application/vnd.openxmlformats-officedocument.spreadsheetml.table+xml" PartName="/xl/tables/table107.xml"/>
  <Override ContentType="application/vnd.openxmlformats-officedocument.spreadsheetml.table+xml" PartName="/xl/tables/table60.xml"/>
  <Override ContentType="application/vnd.openxmlformats-officedocument.spreadsheetml.table+xml" PartName="/xl/tables/table90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vigation" sheetId="1" r:id="rId5"/>
    <sheet state="visible" name="Footman Training I" sheetId="2" r:id="rId6"/>
    <sheet state="visible" name="Cavalry Training I" sheetId="3" r:id="rId7"/>
    <sheet state="visible" name="Archer Training I" sheetId="4" r:id="rId8"/>
    <sheet state="visible" name="Footman Training II" sheetId="5" r:id="rId9"/>
    <sheet state="visible" name="Cavalry Training II" sheetId="6" r:id="rId10"/>
    <sheet state="visible" name="Archer Training II" sheetId="7" r:id="rId11"/>
    <sheet state="visible" name="Footman Training III" sheetId="8" r:id="rId12"/>
    <sheet state="visible" name="Cavalry Training III" sheetId="9" r:id="rId13"/>
    <sheet state="visible" name="Archer Training III" sheetId="10" r:id="rId14"/>
    <sheet state="visible" name="Footman Training IV" sheetId="11" r:id="rId15"/>
    <sheet state="visible" name="Cavalry Training IV" sheetId="12" r:id="rId16"/>
    <sheet state="visible" name="Archer Training IV" sheetId="13" r:id="rId17"/>
    <sheet state="visible" name="Footman Training V" sheetId="14" r:id="rId18"/>
    <sheet state="visible" name="Cavalry Training V" sheetId="15" r:id="rId19"/>
    <sheet state="visible" name="Archer Training V" sheetId="16" r:id="rId20"/>
    <sheet state="visible" name="Footman Training VI" sheetId="17" r:id="rId21"/>
    <sheet state="visible" name="Cavalry Training VI" sheetId="18" r:id="rId22"/>
    <sheet state="visible" name="Archer Training VI" sheetId="19" r:id="rId23"/>
    <sheet state="visible" name="Footman Training VII" sheetId="20" r:id="rId24"/>
    <sheet state="visible" name="Cavalry Training VII" sheetId="21" r:id="rId25"/>
    <sheet state="visible" name="Archer Training VII" sheetId="22" r:id="rId26"/>
    <sheet state="visible" name="Cavalry Training VIII" sheetId="23" r:id="rId27"/>
    <sheet state="visible" name="Footman Training VIII" sheetId="24" r:id="rId28"/>
    <sheet state="visible" name="Archer Training VIII" sheetId="25" r:id="rId29"/>
    <sheet state="visible" name="Footman Training IX" sheetId="26" r:id="rId30"/>
    <sheet state="visible" name="Cavalry Training IX" sheetId="27" r:id="rId31"/>
    <sheet state="visible" name="Archer Training IX" sheetId="28" r:id="rId32"/>
    <sheet state="visible" name="Footman Training X" sheetId="29" r:id="rId33"/>
    <sheet state="visible" name="Cavalry Training X" sheetId="30" r:id="rId34"/>
    <sheet state="visible" name="Archer Training X" sheetId="31" r:id="rId35"/>
  </sheets>
  <definedNames/>
  <calcPr/>
</workbook>
</file>

<file path=xl/sharedStrings.xml><?xml version="1.0" encoding="utf-8"?>
<sst xmlns="http://schemas.openxmlformats.org/spreadsheetml/2006/main" count="6382" uniqueCount="704">
  <si>
    <t>All the requirements are recorded and done by Ivan &amp; CrazyDD/ΜΟΛΩΝ ΛΑΒΕ</t>
  </si>
  <si>
    <r>
      <rPr>
        <rFont val="Arial"/>
        <b/>
        <sz val="11.0"/>
      </rPr>
      <t xml:space="preserve">Follow our YouTube channel - </t>
    </r>
    <r>
      <rPr>
        <rFont val="Arial"/>
        <b/>
        <color rgb="FF1155CC"/>
        <sz val="11.0"/>
      </rPr>
      <t>youtube.com/@TheRocNoobs</t>
    </r>
    <r>
      <rPr>
        <rFont val="Arial"/>
        <b/>
        <sz val="11.0"/>
      </rPr>
      <t xml:space="preserve">
We play in  </t>
    </r>
    <r>
      <rPr>
        <rFont val="Arial"/>
        <b/>
        <color rgb="FFFF0000"/>
        <sz val="11.0"/>
      </rPr>
      <t>Bracket 2 - 584 goW (ΜΟΛΩΝ ΛΑΒΕ)</t>
    </r>
  </si>
  <si>
    <t>Archer Training I</t>
  </si>
  <si>
    <t>Cavalry Training I</t>
  </si>
  <si>
    <r>
      <rPr>
        <rFont val="Arial"/>
        <b/>
        <sz val="11.0"/>
      </rPr>
      <t xml:space="preserve">You can find the Tech + Royal + Artifact + Dragon + Season Talents file on this </t>
    </r>
    <r>
      <rPr>
        <rFont val="Arial"/>
        <b/>
        <color rgb="FF1155CC"/>
        <sz val="11.0"/>
        <u/>
      </rPr>
      <t>link here</t>
    </r>
    <r>
      <rPr>
        <rFont val="Arial"/>
        <b/>
        <sz val="11.0"/>
      </rPr>
      <t>.</t>
    </r>
  </si>
  <si>
    <t>Footman Training I</t>
  </si>
  <si>
    <t>Skill</t>
  </si>
  <si>
    <t>BUFF</t>
  </si>
  <si>
    <t>Level 1</t>
  </si>
  <si>
    <t>Level 2</t>
  </si>
  <si>
    <t>TOTAL</t>
  </si>
  <si>
    <t>Progress Tracker</t>
  </si>
  <si>
    <t>Courage</t>
  </si>
  <si>
    <t>For squads with Archers, Might increased by 1%</t>
  </si>
  <si>
    <t>Level</t>
  </si>
  <si>
    <t>For squads with Footmen, Might increased by 1%</t>
  </si>
  <si>
    <t>For squads with Cavalry, Might increased by 1%</t>
  </si>
  <si>
    <t>Tech</t>
  </si>
  <si>
    <t>Virtue Badges</t>
  </si>
  <si>
    <t>Completion</t>
  </si>
  <si>
    <t>Total</t>
  </si>
  <si>
    <t>I</t>
  </si>
  <si>
    <t>Revival</t>
  </si>
  <si>
    <t>For squads with Archers, HP increased by 1%</t>
  </si>
  <si>
    <t>For squads with Footmen, HP increased by 1%</t>
  </si>
  <si>
    <t>Defense</t>
  </si>
  <si>
    <t>For squads with Archers, Resistance increased by 1%</t>
  </si>
  <si>
    <t>For squads with Cavalry, HP increased by 1%</t>
  </si>
  <si>
    <t>Frenzy Fighter</t>
  </si>
  <si>
    <t>Archer's Base Might increased by 2%</t>
  </si>
  <si>
    <t>For squads with Footmen, Resistance increased by 1%</t>
  </si>
  <si>
    <t>Footman's Base Might increased by 2%</t>
  </si>
  <si>
    <t>For squads with Cavalry, Resistance increased by 1%</t>
  </si>
  <si>
    <t>Attack with Courage</t>
  </si>
  <si>
    <t>Cavalry's Base Might increased by 2%</t>
  </si>
  <si>
    <t>For every 25% troop power loss, 50% chance to increase your Might by 50%, lasting 2 rounds</t>
  </si>
  <si>
    <t>Defense in Danger</t>
  </si>
  <si>
    <t>For every 25% troop power loss, 50% chance to increase your Resistance by +50%, lasting 2 rounds</t>
  </si>
  <si>
    <t>Encounter Battle I</t>
  </si>
  <si>
    <t>Faltering</t>
  </si>
  <si>
    <t>Extermination</t>
  </si>
  <si>
    <t>Archer's Resistance in non-siege battles increased by 1%</t>
  </si>
  <si>
    <t>For every 25% troop power loss, 50% chance to steal 25% Might from 1 random enemy squads, lasting 2 rounds</t>
  </si>
  <si>
    <t>Raid</t>
  </si>
  <si>
    <t>Archer's Might in non-siege battles increased by 1%</t>
  </si>
  <si>
    <t>Survival in the Wild</t>
  </si>
  <si>
    <t>Archer's HP in non-siege battles increased by 6%</t>
  </si>
  <si>
    <t>Ambush in the Wild</t>
  </si>
  <si>
    <t>Archer's Tactical Might in non-siege battles increased by 1%</t>
  </si>
  <si>
    <t>Footman's Resistance in non-siege battles increased by 1%</t>
  </si>
  <si>
    <t>Footman's Might in non-siege battles increased by 1%</t>
  </si>
  <si>
    <t>Field Intel</t>
  </si>
  <si>
    <t>Archer's Tactical Resistance in non-siege battles increased by 1%</t>
  </si>
  <si>
    <t>Footman's HP in non-siege battles increased by 6%</t>
  </si>
  <si>
    <t>Cavalry Might in non-siege battles increased by 1%</t>
  </si>
  <si>
    <t>Marching</t>
  </si>
  <si>
    <t>For squads with Archers, Marching Speed increased by 5</t>
  </si>
  <si>
    <t>Footman's Tactical Might in non-siege battles increased by 1%</t>
  </si>
  <si>
    <t>Call of Glory I</t>
  </si>
  <si>
    <t>Cavalry's Resistance in non-siege battles increased by 1%</t>
  </si>
  <si>
    <t>Charge</t>
  </si>
  <si>
    <t>In Reign of Chaos seasons, Archer's Might increased by 1%</t>
  </si>
  <si>
    <t>Cavalry's HP in non-siege battles increased by 6%</t>
  </si>
  <si>
    <t>Footman's Tactical Resistance in non-siege battles increased by 1%</t>
  </si>
  <si>
    <t>Cooperation</t>
  </si>
  <si>
    <t>For squads with Footmen, Marching Speed increased by 5</t>
  </si>
  <si>
    <t>When joining rally attacks, Archer's Might increased by 1%</t>
  </si>
  <si>
    <t>Stronghold</t>
  </si>
  <si>
    <t>In Reign of Chaos seasons, Archer's Resistance increased by 1%</t>
  </si>
  <si>
    <t>Cavalry's Tactical Resistance in non-siege battles increased by 1%</t>
  </si>
  <si>
    <t>Revival in Chaos</t>
  </si>
  <si>
    <t>In Reign of Chaos seasons, Archer's HP increased by 6%</t>
  </si>
  <si>
    <t>March</t>
  </si>
  <si>
    <t>After entering the battlefield, Archer's Might increased by 1%</t>
  </si>
  <si>
    <t>In Reign of Chaos seasons, Footman's Might increased by 1%</t>
  </si>
  <si>
    <t>Solidarity</t>
  </si>
  <si>
    <t>When joining rally attacks, Archer's Resistance increased by 1%</t>
  </si>
  <si>
    <t>Steal from Enemies I</t>
  </si>
  <si>
    <t>In round 5, (the number of Archer squads in the Legion *8%) chance to make 2 random friendly squads gain a 15% "Life Steal" effect, turning some damage dealt to the enemy into your troo power, lasting 1 round</t>
  </si>
  <si>
    <t>Unyielding</t>
  </si>
  <si>
    <t>After entering the battlefield, Archer's Resistance increased by 3%</t>
  </si>
  <si>
    <t>Cavalry Tactical Might in non-siege battles increased by 1%</t>
  </si>
  <si>
    <t>When joining rally attacks, Footmen Might increased by 1%</t>
  </si>
  <si>
    <t>Battlefield Revival</t>
  </si>
  <si>
    <t>After entering the battlefield, Archer's HP increased by 6%</t>
  </si>
  <si>
    <t>In Reign of Chaos seasons, Footman's Resistance increased by 1%</t>
  </si>
  <si>
    <t>II</t>
  </si>
  <si>
    <t>Enhanced Tactics I</t>
  </si>
  <si>
    <t>Movement in Unison</t>
  </si>
  <si>
    <t>When all are Cavalry, Cavalry's Combat Speed increased by 10</t>
  </si>
  <si>
    <t>In Reign of Chaos seasons, Footman's HP increased by 6%</t>
  </si>
  <si>
    <t>After entering the battlefield, Footman's Might increased by 1%</t>
  </si>
  <si>
    <t>Footman Training II</t>
  </si>
  <si>
    <t>Siege Plan</t>
  </si>
  <si>
    <t>In siege attacks, Archer's Tactical Might increased by 1%</t>
  </si>
  <si>
    <t>When joining rally attacks, Footman's Resistance increased by 1%</t>
  </si>
  <si>
    <t>Vanguard's Blessing I</t>
  </si>
  <si>
    <t>In round 4, the number of Footman squads of the Legion *8%) chance to magnify the restoring effect of your front-row Footman squad by 10$ for 1 round</t>
  </si>
  <si>
    <t>After entering the battlefield, Footman's Resistance increased by 3%</t>
  </si>
  <si>
    <t>Siege Intel</t>
  </si>
  <si>
    <t>In siege attacks, Archer's Tactical Resistance increased by 1%</t>
  </si>
  <si>
    <t>After entering the battlefield, Footman's HP increased by 6%</t>
  </si>
  <si>
    <t>After entering the battlefield, Cavalry Might increased by 1%</t>
  </si>
  <si>
    <t>Cavalry Training II</t>
  </si>
  <si>
    <t>Defense Plan</t>
  </si>
  <si>
    <t>In siege defense, Archer's Tactical Might increased by 1%</t>
  </si>
  <si>
    <t>Defense Intel</t>
  </si>
  <si>
    <t>In siege defense, Archer's Tactical Resistance increased by 1%</t>
  </si>
  <si>
    <t>In siege attacks, Footman's Tactical Might increased by 1%</t>
  </si>
  <si>
    <t>Secret Tactic I</t>
  </si>
  <si>
    <t>In round 4, if your Archer squad is the one with the highest troop power among friendly squads, 50% chance to enter the dodging status for the next 1 damage(s) taken, allowing you to be immune to those damage taken</t>
  </si>
  <si>
    <t>When joining rally attacks, Cavalry's Resistance increased by 1%</t>
  </si>
  <si>
    <t>Archer Training II</t>
  </si>
  <si>
    <t>After entering the battlefield, Cavalry's Resistance increased by 3%</t>
  </si>
  <si>
    <t>In siege attacks, Footman's Tactical Resistance increased by 1%</t>
  </si>
  <si>
    <t>For squads with Archers, HP increased by 6%</t>
  </si>
  <si>
    <t>After entering the battlefield, Cavalry HP increased by 6%</t>
  </si>
  <si>
    <t>In Reign of Chaos seasons, Cavalry Might increased by 1%</t>
  </si>
  <si>
    <t>III</t>
  </si>
  <si>
    <t>In siege defense, Footman's Tactical Might increased by 1%</t>
  </si>
  <si>
    <t>Footman Training III</t>
  </si>
  <si>
    <t>When joining rally attacks, Cavalry Might increased by 1%</t>
  </si>
  <si>
    <t>In siege defense, Footman's Tactical Resistance increased by 1%</t>
  </si>
  <si>
    <t>Restart I</t>
  </si>
  <si>
    <t>In round 6, (the number of Cavalry squads of the legion *8%) chance to remove the debuff on your back-row Cavalry squad instantly (excluding the debuffs from Pre-Battle skills)</t>
  </si>
  <si>
    <t>In Reign of Chaos seasons, Cavalry's Resistance increased by 1%</t>
  </si>
  <si>
    <t>Hide the Weakness I</t>
  </si>
  <si>
    <t>In round 5, if your Footman squad is the one with the lowest troop power among friendly squads, gain 30% Immunity against the Fatal Blow and Destructive Strike, lasting 2 rounds</t>
  </si>
  <si>
    <t>Cavalry Training III</t>
  </si>
  <si>
    <t>In Reign of Chaos seasons, Cavalry's HP increased by 6%</t>
  </si>
  <si>
    <t>For squads with Footmen, HP increased by 6%</t>
  </si>
  <si>
    <t>Archer Training III</t>
  </si>
  <si>
    <t>In siege defense, Cavalry's Tactical Might increased by 1%</t>
  </si>
  <si>
    <t>In siege defense, Cavalry's Tactical Resistance increased by 1%</t>
  </si>
  <si>
    <t>IV</t>
  </si>
  <si>
    <t>Footman Training IV</t>
  </si>
  <si>
    <t>In siege attacks, Cavalry's Tactical Might increased by 1%</t>
  </si>
  <si>
    <t>In siege attacks, Cavalry's Tactical Resistance increased by 1%</t>
  </si>
  <si>
    <t>Incapacitate</t>
  </si>
  <si>
    <t>When Footmen cause damage, 5% of the enemy's lost soldiers will be incapacitated and cannot recover, lasting till the battle ends.</t>
  </si>
  <si>
    <t>Emergency Rescue I</t>
  </si>
  <si>
    <t>In round 4, if your Cavalry squad is the one with the lowest troop power among friendly squads, gain a shield making the next 1 damage(s) you take -30% for 1 round</t>
  </si>
  <si>
    <t>Cavalry Training IV</t>
  </si>
  <si>
    <t>For squads with Cavalry, HP increased by 6%</t>
  </si>
  <si>
    <t>Tough Armor</t>
  </si>
  <si>
    <t>Footman's Base Resistance increased by 2%</t>
  </si>
  <si>
    <t>Siege Skill I</t>
  </si>
  <si>
    <t>Archer Training IV</t>
  </si>
  <si>
    <t>Motionless</t>
  </si>
  <si>
    <t>For squads with Footmen, Siege Resistance increased by 1%</t>
  </si>
  <si>
    <t>Cavalry's Base Resistance increased by 2%</t>
  </si>
  <si>
    <t>Plunder</t>
  </si>
  <si>
    <t>For squads with Footmen, Siege Might increased by 1%</t>
  </si>
  <si>
    <t>Excited</t>
  </si>
  <si>
    <t>In siege attacks, Footman's HP increased by 6%</t>
  </si>
  <si>
    <t>V</t>
  </si>
  <si>
    <t>When Cavalry causes damage, 5% of the enemy's lost soldiers will be incapacitated and cannot recover, lasting till the battle ends.</t>
  </si>
  <si>
    <t>Vanguard's Courage</t>
  </si>
  <si>
    <t>When initiating rally attacks, all Footmen's Might in the formation increased by 1%</t>
  </si>
  <si>
    <t>Footman Training V</t>
  </si>
  <si>
    <t>Vanguard's Defense</t>
  </si>
  <si>
    <t>When initiating rally attacks, all Footmen's Resistance in the formation increased by 1%</t>
  </si>
  <si>
    <t>For squads with Cavalry, Siege Resistance increased by 1%</t>
  </si>
  <si>
    <t>Cavalry Training V</t>
  </si>
  <si>
    <t>For squads with Cavalry, Siege Might increased by 1%</t>
  </si>
  <si>
    <t>Break Cities</t>
  </si>
  <si>
    <t>In siege attacks, Footmen deal 5% more damage</t>
  </si>
  <si>
    <t>In siege attacks, Cavalry's HP increased by 6%</t>
  </si>
  <si>
    <t>Defensive Skill I</t>
  </si>
  <si>
    <t>When initiating rally attacks, all Cavalry's Resistance in the formation increased by 1%</t>
  </si>
  <si>
    <t>Perseverance</t>
  </si>
  <si>
    <t>For squads with Footmen, Siege Defense Might increased by 1%</t>
  </si>
  <si>
    <t>Archer Training V</t>
  </si>
  <si>
    <t>Encircle</t>
  </si>
  <si>
    <t>When reinforcing allies in their castles, Footman's Might increased by 1%</t>
  </si>
  <si>
    <t>When Archers cause damage, 5% of the enemy's lost soldiers will be incapacitated and cannot recover, lasting till the battle ends.</t>
  </si>
  <si>
    <t>For squads with Footmen, Siege Defense Resistance increased by 1%</t>
  </si>
  <si>
    <t>Interception</t>
  </si>
  <si>
    <t>When reinforcing allies in their castles, Footman's Resistance increased by 1%</t>
  </si>
  <si>
    <t>When initiating rally attacks, all Cavalry's Might in the formation increased by 1%</t>
  </si>
  <si>
    <t>Tougher Defense</t>
  </si>
  <si>
    <t>In siege defense, Footman's HP increased by 6%</t>
  </si>
  <si>
    <t>VI</t>
  </si>
  <si>
    <t>In siege attacks, Cavalry deals 5% more damage</t>
  </si>
  <si>
    <t>Archer's Base Resistance increased by 2%</t>
  </si>
  <si>
    <t>Footman Training VI</t>
  </si>
  <si>
    <t>For squads with Cavalry, Siege Defense Resistance increased by 1%</t>
  </si>
  <si>
    <t>City Defense Tactics</t>
  </si>
  <si>
    <t>In siege defense, Footman's Tactical Might and Tactical Resistance increased by 5%</t>
  </si>
  <si>
    <t>For squads with Archers, Siege Resistance increased by 1%</t>
  </si>
  <si>
    <t>When reinforcing allies in their castles, Cavalry Resistance increased by 1%</t>
  </si>
  <si>
    <t>For squads with Archers, Siege Might increased by 1%</t>
  </si>
  <si>
    <t>For squads with Cavalry, Siege Defense Might increased by 1%</t>
  </si>
  <si>
    <t>Cavalry Training VI</t>
  </si>
  <si>
    <t>In siege attacks, Archer's HP increased by 6%</t>
  </si>
  <si>
    <t>When reinforcing allies in their castles, Cavalry Might increased by 1%</t>
  </si>
  <si>
    <t>In siege defense, Cavalry's HP increased by 6%</t>
  </si>
  <si>
    <t>When initiating rally attacks, all Archers' Might in the formation increased by 1%</t>
  </si>
  <si>
    <t>Neat Formation I</t>
  </si>
  <si>
    <t>Archer Training VI</t>
  </si>
  <si>
    <t>Secret Intel</t>
  </si>
  <si>
    <t>Mid-row Footman squad's Tactical Resistance increased by 1%</t>
  </si>
  <si>
    <t>Great Courage</t>
  </si>
  <si>
    <t>Mid-row Footman squad's Might increased by 1%</t>
  </si>
  <si>
    <t>When initiating rally attacks, all Archers' Resistance in the formation increased by 1%</t>
  </si>
  <si>
    <t>In siege defense, Cavalry's Tactical Might and Tactical Resistance increased by 5%</t>
  </si>
  <si>
    <t>Solid Defense</t>
  </si>
  <si>
    <t>Mid-row Footman squad's Resistance increased by 1%</t>
  </si>
  <si>
    <t>In siege attacks, Archers deal 5% more damage</t>
  </si>
  <si>
    <t>VII</t>
  </si>
  <si>
    <t>Smart Scheme</t>
  </si>
  <si>
    <t>Mid-row Footman squad's Tactical Might increased by 1%</t>
  </si>
  <si>
    <t>Great Vitality</t>
  </si>
  <si>
    <t>Mid-row Footman squad's HP increased by 6%</t>
  </si>
  <si>
    <t>Vanguard's Intel</t>
  </si>
  <si>
    <t>Front-row Footman squad's Tactical Resistance increased by 1%</t>
  </si>
  <si>
    <t>Footman Training VII</t>
  </si>
  <si>
    <t>For squads with Archers, Siege Defense Might increased by 1%</t>
  </si>
  <si>
    <t>Frontal Defense</t>
  </si>
  <si>
    <t>Front-row Footman squad's Resistance increased by 1%</t>
  </si>
  <si>
    <t>When reinforcing allies in their castles, Archer's Might increased by 1%</t>
  </si>
  <si>
    <t>Front-row Footman squad's Might increased by 1%</t>
  </si>
  <si>
    <t>For squads with Archers, Siege Defense Resistance increased by 1%</t>
  </si>
  <si>
    <t>When reinforcing allies in their castles, Archer's Resistance increased by 1%</t>
  </si>
  <si>
    <t>Vanguard's Scheme</t>
  </si>
  <si>
    <t>Front-row Footman squad's Tactical Might increased by 1%</t>
  </si>
  <si>
    <t>Rearguard's Intel</t>
  </si>
  <si>
    <t>Back-row Cavalry squad's Tactical Resistance increased by 1%</t>
  </si>
  <si>
    <t>Cavalry Training VII</t>
  </si>
  <si>
    <t>In siege defense, Archer's HP increased by 6%</t>
  </si>
  <si>
    <t>Vanguard's Vitality</t>
  </si>
  <si>
    <t>Front-row Footman squad's HP increased by 6%</t>
  </si>
  <si>
    <t>Weakened Power I</t>
  </si>
  <si>
    <t>In round 4, (the number of Footman squads of the Legion *20%) chance to make the enemy squad with the highest troop power deal -10% Physical Damage, lasting 2 rounds</t>
  </si>
  <si>
    <t>Rearguard's Defense</t>
  </si>
  <si>
    <t>Back-row Cavalry squad's Resistance increased by 1%</t>
  </si>
  <si>
    <t>Back-row Footman squad's Tactical Resistance increased by 1%</t>
  </si>
  <si>
    <t>Rearguard's Courage</t>
  </si>
  <si>
    <t>Back-row Footman squad's Might increased by 1%</t>
  </si>
  <si>
    <t>Back-row Cavalry squad's Might increased by 1%</t>
  </si>
  <si>
    <t>Back-row Footman squad's Resistance increased by 1%</t>
  </si>
  <si>
    <t>Archer Training VII</t>
  </si>
  <si>
    <t>Rearguard's Scheme</t>
  </si>
  <si>
    <t>Back-row Cavalry squad's Tactical Might increased by 1%</t>
  </si>
  <si>
    <t>Rearguard's Vitality</t>
  </si>
  <si>
    <t>Back-row Cavalry squad's HP increased by 6%</t>
  </si>
  <si>
    <t>Back-row Footman squad's Tactical Might increased by 1%</t>
  </si>
  <si>
    <t>Front-row Cavalry squad's Tactical Resistance increased by 1%</t>
  </si>
  <si>
    <t>Back-row Footman squad's HP increased by 6%</t>
  </si>
  <si>
    <t>Front-row Cavalry squad's Might increased by 1%</t>
  </si>
  <si>
    <t>In siege defense, Archer's Tactical Might and Tactical Resistance increased by 5%</t>
  </si>
  <si>
    <t>Front-row Cavalry squad's Resistance increased by 1%</t>
  </si>
  <si>
    <t>VIII</t>
  </si>
  <si>
    <t>Front-row Cavalry squad's Tactical Might increased by 1%</t>
  </si>
  <si>
    <t>Front-row Cavalry squad's HP increased by 6%</t>
  </si>
  <si>
    <t>Footman Training VIII</t>
  </si>
  <si>
    <t>Overwhelming Attack I</t>
  </si>
  <si>
    <t>In round 6, if your Cavalry squad is the one with the highest troop power among friendly squads, deal +10% Skill Damage for 2 rounds</t>
  </si>
  <si>
    <t>Mid-row Cavalry squad's Tactical Resistance increased by 1%</t>
  </si>
  <si>
    <t>Mid-row Cavalry squad's Resistance increased by 1%</t>
  </si>
  <si>
    <t>Mid-row Archer squad's Tactical Resistance increased by 1%</t>
  </si>
  <si>
    <t>Mid-row Cavalry squad's Might increased by 1%</t>
  </si>
  <si>
    <t>Mid-row Archer squad's Might increased by 1%</t>
  </si>
  <si>
    <t>Cavalry Training VIII</t>
  </si>
  <si>
    <t>Mid-row Cavalry squad's Tactical Might increased by 1%</t>
  </si>
  <si>
    <t>Mid-row Cavalry squad's HP increased by 6%</t>
  </si>
  <si>
    <t>Mid-row Archer squad's Resistance increased by 1%</t>
  </si>
  <si>
    <t>Mid-row Archer squad's Tactical Might increased by 1%</t>
  </si>
  <si>
    <t>Mid-row Archer squad's HP increased by 6%</t>
  </si>
  <si>
    <t>Front-row Archer squad's Tactical Resistance increased by 1%</t>
  </si>
  <si>
    <t>Archer Training VIII</t>
  </si>
  <si>
    <t>Front-row Archer squad's Resistance increased by 1%</t>
  </si>
  <si>
    <t>Front-row Archer squad's Might increased by 1%</t>
  </si>
  <si>
    <t>Front-row Archer squad's Tactical Might increased by 1%</t>
  </si>
  <si>
    <t>Front-row Archer squad's HP increased by 6%</t>
  </si>
  <si>
    <t>Weaken the Weakness I</t>
  </si>
  <si>
    <t>IX</t>
  </si>
  <si>
    <t>In round 5, (the number of Archer squads of the Legion *20%) chance to make the enemy squad with the lowest troop power take +10% Physical Damage, lasting 2 rounds</t>
  </si>
  <si>
    <t>Back-row Archer squad's Tactical Resistance increased by 1%</t>
  </si>
  <si>
    <t>Back-row Archer squad's Might increased by 1%</t>
  </si>
  <si>
    <t>Footman Training IX</t>
  </si>
  <si>
    <t>Energetic</t>
  </si>
  <si>
    <t>Footman's Base HP increased by 2%</t>
  </si>
  <si>
    <t>Back-row Archer squad's Resistance increased by 1%</t>
  </si>
  <si>
    <t>Back-row Archer squad's Tactical Might increased by 1%</t>
  </si>
  <si>
    <t>Back-row Archer squad's HP increased by 6%</t>
  </si>
  <si>
    <t>Cavalry Training IX</t>
  </si>
  <si>
    <t>Persistence in Danger</t>
  </si>
  <si>
    <t>For every 25% troop power loss, 50% chance to make the Skill and Physical Damage you take -10%, lasting 2 rounds</t>
  </si>
  <si>
    <t>Encounter Battle II</t>
  </si>
  <si>
    <t>Archer Training IX</t>
  </si>
  <si>
    <t>X</t>
  </si>
  <si>
    <t>Footman Training X</t>
  </si>
  <si>
    <t>Cavalry's Base HP increased by 2%</t>
  </si>
  <si>
    <t>Mental Attack</t>
  </si>
  <si>
    <t>For every 25% troop power loss, 50% chance to steal 5% Skill and Phyisical Damage from 1 random enemy squads, lasting 2 rounds</t>
  </si>
  <si>
    <t>Cavalry Training X</t>
  </si>
  <si>
    <t>Call of Glory II</t>
  </si>
  <si>
    <t>Archer Training X</t>
  </si>
  <si>
    <t>Archer's Base HP increased by 2%</t>
  </si>
  <si>
    <t>After entering the battlefield, Footman's Resistance increased by 1%</t>
  </si>
  <si>
    <t>Footman</t>
  </si>
  <si>
    <t>Cavalry</t>
  </si>
  <si>
    <t>Extra Courage</t>
  </si>
  <si>
    <t>For every 25% troop power loss, 50% chance to make your squad deal +10% Skill and Physical Damage, lasting 2 rounds</t>
  </si>
  <si>
    <t>Archers</t>
  </si>
  <si>
    <t>Logistics Support</t>
  </si>
  <si>
    <t>Vanguard's Blessing II</t>
  </si>
  <si>
    <t>In round 2, (the number of Footman squads of the Legion *8%) chance to magnify the restoring effect of your front-row Footman squad by 10% for 1 round(s)</t>
  </si>
  <si>
    <t>Enhanced Tactics II</t>
  </si>
  <si>
    <t>After entering the battlefield, Cavalry's Resistance increased by 1%</t>
  </si>
  <si>
    <t>Restart II</t>
  </si>
  <si>
    <t>In round 4, (the number of Cavalry squads of the Legion *8%) chance to remove the debuff on your back-row Cavalry squad instantly (excluding the debuffs from Pre-Battle Skills)</t>
  </si>
  <si>
    <t>Footman's Base Might increased by 4%</t>
  </si>
  <si>
    <t>Hide the Weakness II</t>
  </si>
  <si>
    <t>In round 3, if your Footman squad is the one with the lowest troop power among friendly squads, gain 30% Immunity against the Fatal Blow and Destructive Strike, lasting 2 round(s)</t>
  </si>
  <si>
    <t>Siege Skill II</t>
  </si>
  <si>
    <t>After entering the battlefield, Archer's Resistance increased by 1%</t>
  </si>
  <si>
    <t>Emergency Rescue II</t>
  </si>
  <si>
    <t>In round 2, if your Cavalry squad is the one with the lowest troop power among friendly squads, gain a shield making the next 1 damage(s) you take -30% for 1 round(s)</t>
  </si>
  <si>
    <t>Defensive Skill II</t>
  </si>
  <si>
    <t>Cavalry's Base Resistance increased by 4%</t>
  </si>
  <si>
    <t>Trap</t>
  </si>
  <si>
    <t>In castle defense battles, Footmen deal 5% more damage</t>
  </si>
  <si>
    <t>Steal from Enemies II</t>
  </si>
  <si>
    <t>In round 3, (the number of Archer squads of the Legion *8%) chance to make 2 random friendly squad(s) gain a 15% "Life Steal" effect, turning some damage dealt to the enemy into your troop power, lasting 1 round(s)</t>
  </si>
  <si>
    <t>Archer's Base HP increased by 4%</t>
  </si>
  <si>
    <t>Neat Formation II</t>
  </si>
  <si>
    <t>Mid-row Footman squad's Tactical Resistance increased by 2%</t>
  </si>
  <si>
    <t>Mid-row Footman squad's Might increased by 2%</t>
  </si>
  <si>
    <t>Mid-row Footman squad's Tactical Might increased by 2%</t>
  </si>
  <si>
    <t>Mid-row Footman squad's Resistance increased by 2%</t>
  </si>
  <si>
    <t>Mid-row Footman squad's HP increased by 10%</t>
  </si>
  <si>
    <t>Front-row Footman squad's Tactical Resistance increased by 2%</t>
  </si>
  <si>
    <t>Front-row Footman squad's Resistance increased by 2%</t>
  </si>
  <si>
    <t>Front-row Footman squad's Tactical Might increased by 2%</t>
  </si>
  <si>
    <t>Front-row Footman squad's Might increased by 2%</t>
  </si>
  <si>
    <t>Front-row Footman squad's HP increased by 10%</t>
  </si>
  <si>
    <t>Back-row Footman squad's Tactical Resistance increased by 2%</t>
  </si>
  <si>
    <t>Back-row Footman squad's Might increased by 2%</t>
  </si>
  <si>
    <t>Back-row Footman squad's Tactical Might increased by 2%</t>
  </si>
  <si>
    <t>Back-row Footman squad's Resistance increased by 2%</t>
  </si>
  <si>
    <t>Back-row Footman squad's HP increased by 10%</t>
  </si>
  <si>
    <t>Weakened Power II</t>
  </si>
  <si>
    <t>In round 2, (the number of Footman squads of the Legion *20%) chance to make the enemy squad with the highest troop power deal -10% Physical Damage, lasting 2 rounds</t>
  </si>
  <si>
    <t>In castle defense battles, Cavalry deals 5% more damage</t>
  </si>
  <si>
    <t>Secret Tactic II</t>
  </si>
  <si>
    <t>In round 2, if your Archer squad is the one with the lowest troop power among friendly squads, 50% chance to enter the dodging status fro the next 1 damage(s) taken, allowing you to be immune to those damage taken</t>
  </si>
  <si>
    <t>Back-row Cavalry squad's Tactical Resistance increased by 2%</t>
  </si>
  <si>
    <t>Back-row Cavalry squad's Resistance increased by 2%</t>
  </si>
  <si>
    <t>For squads with Footmen, HP increased by 2%</t>
  </si>
  <si>
    <t>Back-row Cavalry squad's Tactical Might increased by 2%</t>
  </si>
  <si>
    <t>Back-row Cavalry squad's Might increased by 2%</t>
  </si>
  <si>
    <t>In castle defense battles, Archers deal 5% more damage</t>
  </si>
  <si>
    <t>Back-row Cavalry squad's HP increased by 10%</t>
  </si>
  <si>
    <t>Front-row Cavalry squad's Tactical Resistance increased by 2%</t>
  </si>
  <si>
    <t>Front-row Cavalry squad's Might increased by 2%</t>
  </si>
  <si>
    <t>Front-row Cavalry squad's Tactical Might increased by 2%</t>
  </si>
  <si>
    <t>For every 25% troop power loss, 50% chance to steal 5% Skill and Physical Damage from 1 random enemy squad(s), lasting 2 rounds</t>
  </si>
  <si>
    <t>Front-row Cavalry squad's Resistance increased by 2%</t>
  </si>
  <si>
    <t>Front-row Cavalry squad's HP increased by 10%</t>
  </si>
  <si>
    <t>Encounter Battle III</t>
  </si>
  <si>
    <t>Mid-row Cavalry squad's Tactical Resistance increased by 2%</t>
  </si>
  <si>
    <t>For squads with Cavalry, HP increased by 2%</t>
  </si>
  <si>
    <t>Mid-row Cavalry squad's Resistance increased by 2%</t>
  </si>
  <si>
    <t>Mid-row Cavalry squad's Tactical Might increased by 2%</t>
  </si>
  <si>
    <t>Mid-row Cavalry squad's Might increased by 2%</t>
  </si>
  <si>
    <t>Mid-row Cavalry squad's HP increased by 10%</t>
  </si>
  <si>
    <t>Mid-row Archer squad's Tactical Resistance increased by 2%</t>
  </si>
  <si>
    <t>Overwhelming Attack II</t>
  </si>
  <si>
    <t>Footman's HP in non-siege battles increased by 4%</t>
  </si>
  <si>
    <t xml:space="preserve">In round 4, if your Cavalry squad is the one with the highest troop power among friendly squads, deal +10% Skill Damage for 2 rounds
</t>
  </si>
  <si>
    <t>Mid-row Archer squad's Might increased by 2%</t>
  </si>
  <si>
    <t>Mid-row Archer squad's Tactical Might increased by 2%</t>
  </si>
  <si>
    <t>For every 25% troop power loss, 50% chance to make your squad deal +10% Skill and Physical Damage, lasting 2 round(s)</t>
  </si>
  <si>
    <t>Mid-row Archer squad's Resistance increased by 2%</t>
  </si>
  <si>
    <t>Mid-row Archer squad's HP increased by 10%</t>
  </si>
  <si>
    <t>Front-row Archer squad's Tactical Resistance increased by 2%</t>
  </si>
  <si>
    <t>Front-row Archer squad's Resistance increased by 2%</t>
  </si>
  <si>
    <t>Front-row Archer squad's Tactical Might increased by 2%</t>
  </si>
  <si>
    <t>Call of Glory III</t>
  </si>
  <si>
    <t>Front-row Archer squad's Might increased by 2%</t>
  </si>
  <si>
    <t>Front-row Archer squad's HP increased by 10%</t>
  </si>
  <si>
    <t>Back-row Archer squad's Tactical Resistance increased by 2%</t>
  </si>
  <si>
    <t>Back-row Archer squad's Might increased by 2%</t>
  </si>
  <si>
    <t>For squads with Archers, HP increased by 2%</t>
  </si>
  <si>
    <t>Back-row Archer squad's Tactical Might increased by 2%</t>
  </si>
  <si>
    <t>Back-row Archer squad's Resistance increased by 2%</t>
  </si>
  <si>
    <t>Cavalry's HP in non-siege battles increased by 4%</t>
  </si>
  <si>
    <t>Back-row Archer squad's HP increased by 10%</t>
  </si>
  <si>
    <t>Hunt 'Em Down II</t>
  </si>
  <si>
    <t>In round 3, (the number of Archer squads of the Legion *20%) chance to make the enemy squad with the lowest troop power take +10% Physical Damage, lasting 2 rounds</t>
  </si>
  <si>
    <t>In Reign of Chaos seasons, Footman's HP increased by 4%</t>
  </si>
  <si>
    <t>After entering the battlefield, Footman's HP increased by 4%</t>
  </si>
  <si>
    <t>Archer's HP in non-siege battles increased by 4%</t>
  </si>
  <si>
    <t>In round 6, (the number of Footman squads of the Legion *8%) chance to magnify the restoring effect of your front-row Footman squad by 10% for 1 round(s)</t>
  </si>
  <si>
    <t>Enhanced Tactics III</t>
  </si>
  <si>
    <t>Siege Skill III</t>
  </si>
  <si>
    <t>After entering the battlefield, Archer's HP increased by 4%</t>
  </si>
  <si>
    <t>After entering the battlefield, Cavalry HP increased by 4%</t>
  </si>
  <si>
    <t>For squads with Footmen, HP increased by 4%</t>
  </si>
  <si>
    <t>In Reign of Chaos seasons, Archer's HP increased by 4%</t>
  </si>
  <si>
    <t>In Reign of Chaos seasons, Cavalry's HP increased by 4%</t>
  </si>
  <si>
    <t>In siege attacks, Footman's HP increased by 4%</t>
  </si>
  <si>
    <t>In round 4, (the number of Archer squads of the Legion *8%) chance to make 2 random friendly squad(s) gain a 15% "Life Steal" effect, turning some damage dealt to the enemy into your troop power, lasting 1 round(s)</t>
  </si>
  <si>
    <t>In round 7, if your Footman squad is the one with the lowest troop power among friendly squads, gain 30% Immunity against the Fatal Blow and Destructive Strike, lasting 2 round(s)</t>
  </si>
  <si>
    <t>In round 2, (the number of Cavalry squads of the Legion *8%) chance to remove the debuff on your back-row Cavalry squad instantly (excluding the debuffs from Pre-Battle Skills)</t>
  </si>
  <si>
    <t>For squads with Archers, HP increased by 4%</t>
  </si>
  <si>
    <t>Defensive Skill III</t>
  </si>
  <si>
    <t>In round 6, if your Archer squad is the one with the lowest troop power among friendly squads, 50% chance to enter the dodging status fro the next 1 damage(s) taken, allowing you to be immune to those damage taken</t>
  </si>
  <si>
    <t>For squads with Cavalry, HP increased by 4%</t>
  </si>
  <si>
    <t>In round 6, if your Cavalry squad is the one with the lowest troop power among friendly squads, gain a shield making the next 1 damage(s) you take -30% for 1 round(s)</t>
  </si>
  <si>
    <t>In siege defense, Footman's HP increased by 4%</t>
  </si>
  <si>
    <t>Neat Formation III</t>
  </si>
  <si>
    <t>In siege attacks, Cavalry's HP increased by 4%</t>
  </si>
  <si>
    <t>In siege attacks, Archer's HP increased by 4%</t>
  </si>
  <si>
    <t>For squads with Footmen, Might increased by 3%</t>
  </si>
  <si>
    <t>For squads with Footmen, Might increased by 4%</t>
  </si>
  <si>
    <t>For squads with Footmen, Resistance increased by 3%</t>
  </si>
  <si>
    <t>Unstoppable Force</t>
  </si>
  <si>
    <t>Physical Damage dealt by Footman increased by 2%</t>
  </si>
  <si>
    <t>For squads with Footmen, Resistance increased by 4%</t>
  </si>
  <si>
    <t>Solid Armor</t>
  </si>
  <si>
    <t>Squads with Footmen gain 15 Physical Immunity</t>
  </si>
  <si>
    <t>In siege defense, Cavalry's HP increased by 4%</t>
  </si>
  <si>
    <t>For squads with Cavalry, Might increased by 3%</t>
  </si>
  <si>
    <t>Encounter Battle IV</t>
  </si>
  <si>
    <t>Footman's Resistance in non-siege battles increased by 2%</t>
  </si>
  <si>
    <t>For squads with Cavalry, Might increased by 4%</t>
  </si>
  <si>
    <t>For squads with Cavalry, Resistance increased by 3%</t>
  </si>
  <si>
    <t>Physical Damage dealt by Cavalry increased by 2%</t>
  </si>
  <si>
    <t>For squads with Cavalry, Resistance increased by 4%</t>
  </si>
  <si>
    <t>Footman's Might in non-siege battles increased by 2%</t>
  </si>
  <si>
    <t>Footman's HP in non-siege battles increased by 4.5%</t>
  </si>
  <si>
    <t>Squads with Cavalry gain 15 Physical Immunity</t>
  </si>
  <si>
    <t>Footman's Tactical Might in non-siege battles increased by 2%</t>
  </si>
  <si>
    <t>In siege defense, Archer's HP increased by 4%</t>
  </si>
  <si>
    <t>Footman's Tactical Resistance in non-siege battles increased by 2%</t>
  </si>
  <si>
    <t>Cavalry Might in non-siege battles increased by 2%</t>
  </si>
  <si>
    <t>Cavalry's Resistance in non-siege battles increased by 2%</t>
  </si>
  <si>
    <t>Footman's Tactical Resistance in non-siege battles increased by 3%</t>
  </si>
  <si>
    <t>Cavalry's HP in non-siege battles increased by 4.5%</t>
  </si>
  <si>
    <t>Footman's Tactical Might in non-siege battles increased by 3%</t>
  </si>
  <si>
    <t>Demonic Backlash</t>
  </si>
  <si>
    <t>Cavalry's Tactical Resistance in non-siege battles increased by 3%</t>
  </si>
  <si>
    <t>Squads with Footmen gain 15 Skill Immunity</t>
  </si>
  <si>
    <t>Cavalry Tactical Might in non-siege battles increased by 3%</t>
  </si>
  <si>
    <t>Cavalry Tactical Might in non-siege battles increased by 2%</t>
  </si>
  <si>
    <t>Call of Glory IV</t>
  </si>
  <si>
    <t>Cavalry's Tactical Resistance in non-siege battles increased by 2%</t>
  </si>
  <si>
    <t>Squads with Cavalry gain 15 Skill Immunity</t>
  </si>
  <si>
    <t>In Reign of Chaos seasons, Footman's Might increased by 2%</t>
  </si>
  <si>
    <t>In Reign of Chaos seasons, Footman's Might increased by 3%</t>
  </si>
  <si>
    <t>After entering the battlefield, Cavalry Might increased by 2%</t>
  </si>
  <si>
    <t>When joining rally attacks, Footmen Might increased by 2%</t>
  </si>
  <si>
    <t>After entering the battlefield, Cavalry Might increased by 3%</t>
  </si>
  <si>
    <t>In Reign of Chaos seasons, Footman's Resistance increased by 2%</t>
  </si>
  <si>
    <t xml:space="preserve">In round 2, if your Cavalry squad is the one with the highest troop power among friendly squads, deal +10% Skill Damage for 2 rounds
</t>
  </si>
  <si>
    <t>In Reign of Chaos seasons, Footman's Resistance increased by 3%</t>
  </si>
  <si>
    <t>When joining rally attacks, Cavalry's Resistance increased by 2%</t>
  </si>
  <si>
    <t>After entering the battlefield, Cavalry's Resistance increased by 2%</t>
  </si>
  <si>
    <t>In Reign of Chaos seasons, Footman's HP increased by 2%</t>
  </si>
  <si>
    <t>After entering the battlefield, Cavalry HP increased by 2%</t>
  </si>
  <si>
    <t>After entering the battlefield, Footman's Might increased by 2%</t>
  </si>
  <si>
    <t>In Reign of Chaos seasons, Cavalry Might increased by 2%</t>
  </si>
  <si>
    <t>In Reign of Chaos seasons, Cavalry Might increased by 3%</t>
  </si>
  <si>
    <t>After entering the battlefield, Footman's Might increased by 3%</t>
  </si>
  <si>
    <t>When joining rally attacks, Cavalry Might increased by 2%</t>
  </si>
  <si>
    <t>Oathkeeping</t>
  </si>
  <si>
    <t>Squads with Cavalry gain 15% Might and Resistance when reinforcing others.</t>
  </si>
  <si>
    <t>When joining rally attacks, Footman's Resistance increased by 2%</t>
  </si>
  <si>
    <t>In Reign of Chaos seasons, Cavalry's Resistance increased by 2%</t>
  </si>
  <si>
    <t>In Reign of Chaos seasons, Cavalry's Resistance increased by 3%</t>
  </si>
  <si>
    <t>Squads with Footmen gain 15% Might and Resistance when reinforcing others.</t>
  </si>
  <si>
    <t>After entering the battlefield, Footman's Resistance increased by 2%</t>
  </si>
  <si>
    <t>In Reign of Chaos seasons, Cavalry's HP increased by 2%</t>
  </si>
  <si>
    <t>Enhanced Tactics IV</t>
  </si>
  <si>
    <t>After entering the battlefield, Footman's HP increased by 2%</t>
  </si>
  <si>
    <t>In siege defense, Cavalry's Tactical Might increased by 2%</t>
  </si>
  <si>
    <t>For squads with Archers, Might increased by 3%</t>
  </si>
  <si>
    <t>In siege defense, Cavalry's Tactical Might increased by 3%</t>
  </si>
  <si>
    <t>In round 2, (the number of Archer squads of the Legion *20%) chance to make the enemy squad with the lowest troop power take +10% Physical Damage, lasting 2 rounds</t>
  </si>
  <si>
    <t>When joining rally attacks, Cavalry's Resistance increased by 3%</t>
  </si>
  <si>
    <t>In siege defense, Cavalry's Tactical Resistance increased by 2%</t>
  </si>
  <si>
    <t>In siege defense, Cavalry's Tactical Resistance increased by 3%</t>
  </si>
  <si>
    <t>For squads with Archers, Might increased by 4%</t>
  </si>
  <si>
    <t>In siege attacks, Footman's Tactical Might increased by 2%</t>
  </si>
  <si>
    <t>For squads with Archers, Resistance increased by 3%</t>
  </si>
  <si>
    <t>Physical Damage dealt by Archer increased by 2%</t>
  </si>
  <si>
    <t>For squads with Archers, Resistance increased by 4%</t>
  </si>
  <si>
    <t>In siege attacks, Cavalry's Tactical Might increased by 2%</t>
  </si>
  <si>
    <t>In siege attacks, Cavalry's Tactical Might increased by 3%</t>
  </si>
  <si>
    <t>When joining rally attacks, Cavalry Might increased by 3%</t>
  </si>
  <si>
    <t>In siege attacks, Footman's Tactical Might increased by 3%</t>
  </si>
  <si>
    <t>In siege attacks, Cavalry's Tactical Resistance increased by 2%</t>
  </si>
  <si>
    <t>Squads with Archers gain 15 Physical Immunity</t>
  </si>
  <si>
    <t>When joining rally attacks, Footmen Might increased by 3%</t>
  </si>
  <si>
    <t>Swirling Wind</t>
  </si>
  <si>
    <t>In siege attacks, Footman's Tactical Resistance increased by 2%</t>
  </si>
  <si>
    <t>Cavalry's Combat Speed increased by 10</t>
  </si>
  <si>
    <t>In siege attacks, Footman's Tactical Resistance increased by 3%</t>
  </si>
  <si>
    <t>In siege attacks, Cavalry's Tactical Resistance increased by 3%</t>
  </si>
  <si>
    <t>Archer's Resistance in non-siege battles increased by 2%</t>
  </si>
  <si>
    <t>For squads with Cavalry, HP increased by 3%</t>
  </si>
  <si>
    <t>Archer's Might in non-siege battles increased by 2%</t>
  </si>
  <si>
    <t>Archer's HP in non-siege battles increased by 4.5%</t>
  </si>
  <si>
    <t>In siege defense, Footman's Tactical Might increased by 2%</t>
  </si>
  <si>
    <t>Archer's Tactical Might in non-siege battles increased by 2%</t>
  </si>
  <si>
    <t>For squads with Cavalry, Resistance increased by 2%</t>
  </si>
  <si>
    <t>Archer's Tactical Resistance in non-siege battles increased by 2%</t>
  </si>
  <si>
    <t>In siege defense, Footman's Tactical Might increased by 3%</t>
  </si>
  <si>
    <t>When joining rally attacks, Footman's Resistance increased by 3%</t>
  </si>
  <si>
    <t>Archer's Tactical Resistance in non-siege battles increased by 3%</t>
  </si>
  <si>
    <t>In siege defense, Footman's Tactical Resistance increased by 2%</t>
  </si>
  <si>
    <t>Archer's Tactical Might in non-siege battles increased by 3%</t>
  </si>
  <si>
    <t>Squads with Archers gain 15 Skill Immunity</t>
  </si>
  <si>
    <t>Fight Hard, Fight Soft</t>
  </si>
  <si>
    <t>Physical Damage taken by Cavalry reduced by 2%</t>
  </si>
  <si>
    <t>For squads with Cavalry, Might increased by 2%</t>
  </si>
  <si>
    <t>Footman's Combat Speed increased by 10</t>
  </si>
  <si>
    <t>In Reign of Chaos seasons, Archer's Might increased by 2%</t>
  </si>
  <si>
    <t>In siege defense, Footman's Tactical Resistance increased by 3%</t>
  </si>
  <si>
    <t>Armor Piercer</t>
  </si>
  <si>
    <t>Squads with Cavalry gain 15 Physical Immunity Penetration</t>
  </si>
  <si>
    <t>In Reign of Chaos seasons, Archer's Might increased by 3%</t>
  </si>
  <si>
    <t>When joining rally attacks, Archer's Might increased by 2%</t>
  </si>
  <si>
    <t>In Reign of Chaos seasons, Archer's Resistance increased by 2%</t>
  </si>
  <si>
    <t>In Reign of Chaos seasons, Archer's Resistance increased by 3%</t>
  </si>
  <si>
    <t>For squads with Footmen, HP increased by 3%</t>
  </si>
  <si>
    <t>Siege Skill IV</t>
  </si>
  <si>
    <t>In Reign of Chaos seasons, Archer's HP increased by 2%</t>
  </si>
  <si>
    <t>For squads with Cavalry, Siege Resistance increased by 2%</t>
  </si>
  <si>
    <t>After entering the battlefield, Archer's Might increased by 2%</t>
  </si>
  <si>
    <t>After entering the battlefield, Archer's Might increased by 3%</t>
  </si>
  <si>
    <t>For squads with Cavalry, Siege Might increased by 2%</t>
  </si>
  <si>
    <t>For squads with Footmen, Might increased by 2%</t>
  </si>
  <si>
    <t>When joining rally attacks, Archer's Resistance increased by 2%</t>
  </si>
  <si>
    <t>In siege attacks, Cavalry's HP increased by 5%</t>
  </si>
  <si>
    <t>Squads with Archers gain 15% Might and Resistance when reinforcing others.</t>
  </si>
  <si>
    <t>After entering the battlefield, Archer's Resistance increased by 2%</t>
  </si>
  <si>
    <t>When initiating rally attacks, all Cavalry's Resistance in the formation increased by 3%</t>
  </si>
  <si>
    <t>After entering the battlefield, Archer's HP increased by 2%</t>
  </si>
  <si>
    <t>Squads with Footmen gain 15 Physical Immunity Penetration</t>
  </si>
  <si>
    <t>For squads with Footmen, Resistance increased by 2%</t>
  </si>
  <si>
    <t>In siege attacks, Archer's Tactical Might increased by 2%</t>
  </si>
  <si>
    <t>When initiating rally attacks, all Cavalry's Might in the formation increased by 3%</t>
  </si>
  <si>
    <t>In siege attacks, Archer's Tactical Might increased by 3%</t>
  </si>
  <si>
    <t>Trojan Horse</t>
  </si>
  <si>
    <t>When joining rally attacks, Archer's Might increased by 3%</t>
  </si>
  <si>
    <t>Physical Damage taken by Footman reduced by 2%</t>
  </si>
  <si>
    <t>In siege attacks, Archer's Tactical Resistance increased by 2%</t>
  </si>
  <si>
    <t>In siege attacks, Archer's Tactical Resistance increased by 3%</t>
  </si>
  <si>
    <t>Defensive Skill IV</t>
  </si>
  <si>
    <t>For squads with Cavalry, Siege Defense Resistance increased by 3%</t>
  </si>
  <si>
    <t>In siege defense, Archer's Tactical Might increased by 2%</t>
  </si>
  <si>
    <t>For squads with Footmen, Siege Resistance increased by 2%</t>
  </si>
  <si>
    <t>In siege defense, Archer's Tactical Might increased by 3%</t>
  </si>
  <si>
    <t>When joining rally attacks, Archer's Resistance increased by 3%</t>
  </si>
  <si>
    <t>For squads with Footmen, Siege Might increased by 2%</t>
  </si>
  <si>
    <t>In siege defense, Archer's Tactical Resistance increased by 2%</t>
  </si>
  <si>
    <t>For squads with Cavalry, Siege Defense Might increased by 2%</t>
  </si>
  <si>
    <t>In siege attacks, Footman's HP increased by 5%</t>
  </si>
  <si>
    <t>For squads with Cavalry, Siege Defense Might increased by 3%</t>
  </si>
  <si>
    <t>Archer's Combat Speed increased by 10</t>
  </si>
  <si>
    <t>In siege defense, Cavalry's HP increased by 2%</t>
  </si>
  <si>
    <t>In siege defense, Archer's Tactical Resistance increased by 3%</t>
  </si>
  <si>
    <t>When initiating rally attacks, all Footmen's Might in the formation increased by 3%</t>
  </si>
  <si>
    <t>For squads with Archers, Might increased by 2%</t>
  </si>
  <si>
    <t>For squads with Archers, HP increased by 3%</t>
  </si>
  <si>
    <t>Altered Impact</t>
  </si>
  <si>
    <t>Squads with Cavalry take 3% less damage</t>
  </si>
  <si>
    <t>When initiating rally attacks, all Footmen's Resistance in the formation increased by 3%</t>
  </si>
  <si>
    <t>Squads with Archers gain 15 Physical Immunity Penetration</t>
  </si>
  <si>
    <t>For squads with Archers, Resistance increased by 2%</t>
  </si>
  <si>
    <t>Neat Formation IV</t>
  </si>
  <si>
    <t>For squads with Footmen, Siege Defense Might increased by 2%</t>
  </si>
  <si>
    <t>Back-row Cavalry squad's Tactical Resistance increased by 3%</t>
  </si>
  <si>
    <t>Physical Damage taken by Archer reduced by 2%</t>
  </si>
  <si>
    <t>For squads with Footmen, Siege Defense Might increased by 3%</t>
  </si>
  <si>
    <t>For squads with Footmen, Siege Defense Resistance increased by 3%</t>
  </si>
  <si>
    <t>Back-row Cavalry squad's Resistance increased by 3%</t>
  </si>
  <si>
    <t>In siege defense, Footman's HP increased by 2%</t>
  </si>
  <si>
    <t>Back-row Cavalry squad's Might increased by 3%</t>
  </si>
  <si>
    <t>Back-row Cavalry squad's Tactical Might increased by 3%</t>
  </si>
  <si>
    <t>Back-row Cavalry squad's HP increased by 4%</t>
  </si>
  <si>
    <t>Front-row Cavalry squad's Tactical Resistance increased by 3%</t>
  </si>
  <si>
    <t>Footman's Base HP increased by 1%</t>
  </si>
  <si>
    <t>Front-row Cavalry squad's Might increased by 3%</t>
  </si>
  <si>
    <t>For squads with Archers, Siege Resistance increased by 2%</t>
  </si>
  <si>
    <t>Front-row Cavalry squad's Resistance increased by 3%</t>
  </si>
  <si>
    <t>For squads with Archers, Siege Might increased by 2%</t>
  </si>
  <si>
    <t>Squads with Footmen take 3% less damage</t>
  </si>
  <si>
    <t>Front-row Cavalry squad's Tactical Might increased by 3%</t>
  </si>
  <si>
    <t>Front-row Cavalry squad's HP increased by 4%</t>
  </si>
  <si>
    <t>Curse Breaker</t>
  </si>
  <si>
    <t>In siege attacks, Archer's HP increased by 5%</t>
  </si>
  <si>
    <t>Squads with Cavalry gain 15 Skill Immunity Penetration</t>
  </si>
  <si>
    <t>Mid-row Cavalry squad's Tactical Resistance increased by 3%</t>
  </si>
  <si>
    <t>Mid-row Cavalry squad's Resistance increased by 3%</t>
  </si>
  <si>
    <t>Mid-row Cavalry squad's Might increased by 3%</t>
  </si>
  <si>
    <t>When initiating rally attacks, all Archers' Might in the formation increased by 3%</t>
  </si>
  <si>
    <t>Encounter Battle V</t>
  </si>
  <si>
    <t>Mid-row Cavalry squad's Tactical Might increased by 3%</t>
  </si>
  <si>
    <t>Mid-row Cavalry squad's HP increased by 4%</t>
  </si>
  <si>
    <t>Mid-row Footman squad's Tactical Resistance increased by 3%</t>
  </si>
  <si>
    <t>Footman's Tactical Might in non-siege battles increased by 4%</t>
  </si>
  <si>
    <t>Mid-row Footman squad's Might increased by 3%</t>
  </si>
  <si>
    <t>Footman's Might in non-siege battles increased by 3%</t>
  </si>
  <si>
    <t>Footman's Might in non-siege battles increased by 4%</t>
  </si>
  <si>
    <t>Mid-row Footman squad's Resistance increased by 3%</t>
  </si>
  <si>
    <t>Footman's HP in non-siege battles increased by 1%</t>
  </si>
  <si>
    <t>When initiating rally attacks, all Archers' Resistance in the formation increased by 3%</t>
  </si>
  <si>
    <t>Mid-row Footman squad's Tactical Might increased by 3%</t>
  </si>
  <si>
    <t>Footman's HP in non-siege battles increased by 2%</t>
  </si>
  <si>
    <t>Mid-row Footman squad's HP increased by 4%</t>
  </si>
  <si>
    <t>Front-row Footman squad's Tactical Resistance increased by 3%</t>
  </si>
  <si>
    <t>Front-row Footman squad's Resistance increased by 3%</t>
  </si>
  <si>
    <t>Footman's Tactical Resistance in non-siege battles increased by 4%</t>
  </si>
  <si>
    <t>Front-row Footman squad's Might increased by 3%</t>
  </si>
  <si>
    <t>Front-row Footman squad's Tactical Might increased by 3%</t>
  </si>
  <si>
    <t>Footman's Resistance in non-siege battles increased by 3%</t>
  </si>
  <si>
    <t>Front-row Footman squad's HP increased by 4%</t>
  </si>
  <si>
    <t>Squads with Footmen gain 15 Skill Immunity Penetration</t>
  </si>
  <si>
    <t>Back-row Footman squad's Tactical Resistance increased by 3%</t>
  </si>
  <si>
    <t>For squads with Archers, Siege Defense Might increased by 2%</t>
  </si>
  <si>
    <t>Call of Glory V</t>
  </si>
  <si>
    <t>Back-row Footman squad's Might increased by 3%</t>
  </si>
  <si>
    <t>Cavalry's Base HP increased by 1%</t>
  </si>
  <si>
    <t>Back-row Footman squad's Resistance increased by 3%</t>
  </si>
  <si>
    <t>For squads with Archers, Siege Defense Might increased by 3%</t>
  </si>
  <si>
    <t>Back-row Footman squad's Tactical Might increased by 3%</t>
  </si>
  <si>
    <t>Back-row Footman squad's HP increased by 4%</t>
  </si>
  <si>
    <t>For squads with Archers, Siege Defense Resistance increased by 3%</t>
  </si>
  <si>
    <t>In siege defense, Archer's HP increased by 2%</t>
  </si>
  <si>
    <t>Cavalry Tactical Might in non-siege battles increased by 4%</t>
  </si>
  <si>
    <t>Squads with Archers take 3% less damage</t>
  </si>
  <si>
    <t>Cavalry Might in non-siege battles increased by 3%</t>
  </si>
  <si>
    <t>Cavalry Might in non-siege battles increased by 4%</t>
  </si>
  <si>
    <t>Cavalry's HP in non-siege battles increased by 1%</t>
  </si>
  <si>
    <t>Cavalry's HP in non-siege battles increased by 2%</t>
  </si>
  <si>
    <t>Archer's Base Resistance increased by 1%</t>
  </si>
  <si>
    <t>Cavalry's Tactical Resistance in non-siege battles increased by 4%</t>
  </si>
  <si>
    <t>Cavalry's Resistance in non-siege battles increased by 3%</t>
  </si>
  <si>
    <t>When all are Cavalry, Cavalry's Combat Speed increased by 5</t>
  </si>
  <si>
    <t>Mid-row Archer squad's Tactical Resistance increased by 3%</t>
  </si>
  <si>
    <t>Enhanced Tactics V</t>
  </si>
  <si>
    <t>Mid-row Archer squad's Might increased by 3%</t>
  </si>
  <si>
    <t>Archer's Tactical Might in non-siege battles increased by 4%</t>
  </si>
  <si>
    <t>Mid-row Archer squad's Resistance increased by 3%</t>
  </si>
  <si>
    <t>Archer's Might in non-siege battles increased by 3%</t>
  </si>
  <si>
    <t>Mid-row Archer squad's Tactical Might increased by 3%</t>
  </si>
  <si>
    <t>Archer's Might in non-siege battles increased by 4%</t>
  </si>
  <si>
    <t>Archer's HP in non-siege battles increased by 1%</t>
  </si>
  <si>
    <t>Mid-row Archer squad's HP increased by 4%</t>
  </si>
  <si>
    <t>Front-row Archer squad's Tactical Resistance increased by 3%</t>
  </si>
  <si>
    <t>Archer's HP in non-siege battles increased by 2%</t>
  </si>
  <si>
    <t>Front-row Archer squad's Resistance increased by 3%</t>
  </si>
  <si>
    <t>Archer's Tactical Resistance in non-siege battles increased by 4%</t>
  </si>
  <si>
    <t>Archer's Resistance in non-siege battles increased by 3%</t>
  </si>
  <si>
    <t>Front-row Archer squad's Might increased by 3%</t>
  </si>
  <si>
    <t>Front-row Archer squad's Tactical Might increased by 3%</t>
  </si>
  <si>
    <t>Front-row Archer squad's HP increased by 4%</t>
  </si>
  <si>
    <t>Squads with Archers gain 15 Skill Immunity Penetration</t>
  </si>
  <si>
    <t>Back-row Archer squad's Tactical Resistance increased by 3%</t>
  </si>
  <si>
    <t>Back-row Archer squad's Might increased by 3%</t>
  </si>
  <si>
    <t>Back-row Archer squad's Resistance increased by 3%</t>
  </si>
  <si>
    <t>For every 1% troop power loss, {1}% chance to make your squad deal +{2}% Skill and Physical Damage, lasting {3} round(s).</t>
  </si>
  <si>
    <t>Back-row Archer squad's Tactical Might increased by 3%</t>
  </si>
  <si>
    <t>Back-row Archer squad's HP increased by 4%</t>
  </si>
  <si>
    <t>For every 1% troop power loss, {1}% chance to steal {3}% Might from {2} random enemy squad(s), lasting {4} round(s).</t>
  </si>
  <si>
    <t>Cavalry's Base Might increased by 1%</t>
  </si>
  <si>
    <t>Archer's Base Might increased by 1%</t>
  </si>
  <si>
    <t>Footman's Base Resistance increased by 1%</t>
  </si>
  <si>
    <t>Siege Skill V</t>
  </si>
  <si>
    <t>In siege attacks, Cavalry's HP increased by 1%</t>
  </si>
  <si>
    <t>In siege attacks, Archer's HP increased by 1%</t>
  </si>
  <si>
    <t>For every 1% troop power loss, {1}% chance to steal {3}% Skill and Physical Damage from {2} random enemy squad(s), lasting {4} round(s).</t>
  </si>
  <si>
    <t>When initiating rally attacks, all Cavalry's Might in the formation increased by 4%</t>
  </si>
  <si>
    <t>When initiating rally attacks, all Archers' Might in the formation increased by 4%</t>
  </si>
  <si>
    <t>In siege attacks, Footman's HP increased by 1%</t>
  </si>
  <si>
    <t>When initiating rally attacks, all Cavalry's Resistance in the formation increased by 4%</t>
  </si>
  <si>
    <t>When initiating rally attacks, all Archers' Resistance in the formation increased by 4%</t>
  </si>
  <si>
    <t>Defensive Skill V</t>
  </si>
  <si>
    <t>When reinforcing allies in their castles, Cavalry Might increased by 4%</t>
  </si>
  <si>
    <t>When initiating rally attacks, all Footmen's Might in the formation increased by 4%</t>
  </si>
  <si>
    <t>When reinforcing allies in their castles, Archer's Might increased by 4%</t>
  </si>
  <si>
    <t>When initiating rally attacks, all Footmen's Resistance in the formation increased by 4%</t>
  </si>
  <si>
    <t>When reinforcing allies in their castles, Cavalry Resistance increased by 4%</t>
  </si>
  <si>
    <t>Neat Formation V</t>
  </si>
  <si>
    <t>When reinforcing allies in their castles, Archer's Resistance increased by 4%</t>
  </si>
  <si>
    <t>When reinforcing allies in their castles, Footman's Might increased by 4%</t>
  </si>
  <si>
    <t>Mid-row Cavalry squad's HP increased by 2%</t>
  </si>
  <si>
    <t>Mid-row Archer squad's HP increased by 2%</t>
  </si>
  <si>
    <t>Front-row Archer squad's HP increased by 2%</t>
  </si>
  <si>
    <t>In round 1, (the number of Archer squads of the Legion *{1}%) chance to make the enemy squad with the lowest troop power take +{2}% Physical Damage, lasting {3} round(s).</t>
  </si>
  <si>
    <t>Front-row Cavalry squad's HP increased by 2%</t>
  </si>
  <si>
    <t>In round 1, if your Cavalry squad is the one with the highest troop power among friendly squads, deal +{1}% Skill Damage for {2} round(s).</t>
  </si>
  <si>
    <t>Back-row Archer squad's HP increased by 2%</t>
  </si>
  <si>
    <t>When reinforcing allies in their castles, Footman's Resistance increased by 4%</t>
  </si>
  <si>
    <t>Back-row Cavalry squad's HP increased by 2%</t>
  </si>
  <si>
    <t>Mid-row Footman squad's HP increased by 2%</t>
  </si>
  <si>
    <t>Front-row Footman squad's HP increased by 2%</t>
  </si>
  <si>
    <t>In round 1, (the number of Footman squads of the Legion *{1}%) chance to make the enemy squad with the highest troop power deal -{2}% Physical Damage, lasting {3} round(s).</t>
  </si>
  <si>
    <t>Back-row Footman squad's HP increased by 2%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</si>
</sst>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9">
    <font>
      <sz val="11.0"/>
      <color theme="1"/>
      <name val="Calibri"/>
      <scheme val="minor"/>
    </font>
    <font>
      <b/>
      <sz val="11.0"/>
      <color theme="1"/>
      <name val="Arial"/>
    </font>
    <font>
      <b/>
      <sz val="11.0"/>
      <color rgb="FF0000FF"/>
      <name val="Arial"/>
    </font>
    <font>
      <color theme="1"/>
      <name val="Calibri"/>
      <scheme val="minor"/>
    </font>
    <font>
      <b/>
      <sz val="18.0"/>
      <color rgb="FF000000"/>
      <name val="Arial"/>
    </font>
    <font/>
    <font>
      <b/>
      <sz val="11.0"/>
      <color rgb="FFFFFFFF"/>
      <name val="Calibri"/>
    </font>
    <font>
      <sz val="11.0"/>
      <color theme="1"/>
      <name val="Calibri"/>
    </font>
    <font>
      <sz val="10.0"/>
      <color theme="1"/>
      <name val="Arial"/>
    </font>
    <font>
      <b/>
      <sz val="14.0"/>
      <color rgb="FFFFFFFF"/>
      <name val="Calibri"/>
    </font>
    <font>
      <b/>
      <sz val="40.0"/>
      <color rgb="FFFFFFFF"/>
      <name val="Calibri"/>
    </font>
    <font>
      <sz val="11.0"/>
      <color rgb="FFFFFFFF"/>
      <name val="Calibri"/>
    </font>
    <font>
      <b/>
      <sz val="32.0"/>
      <color rgb="FFFFFFFF"/>
      <name val="Calibri"/>
    </font>
    <font>
      <b/>
      <u/>
      <sz val="15.0"/>
      <color rgb="FFFFFFFF"/>
      <name val="Calibri"/>
    </font>
    <font>
      <b/>
      <sz val="10.0"/>
      <color rgb="FFFFFFFF"/>
      <name val="Arial"/>
    </font>
    <font>
      <b/>
      <sz val="15.0"/>
      <color rgb="FFFFFFFF"/>
      <name val="Calibri"/>
    </font>
    <font>
      <sz val="15.0"/>
      <color rgb="FFFFFFFF"/>
      <name val="Calibri"/>
    </font>
    <font>
      <sz val="11.0"/>
      <color rgb="FF000000"/>
      <name val="Calibri"/>
    </font>
    <font>
      <color rgb="FFFFFFFF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7CB4D"/>
        <bgColor rgb="FFF7CB4D"/>
      </patternFill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B7B7B7"/>
        <bgColor rgb="FFB7B7B7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</fills>
  <borders count="12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/>
    </xf>
    <xf borderId="1" fillId="4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5" fontId="6" numFmtId="0" xfId="0" applyAlignment="1" applyBorder="1" applyFill="1" applyFont="1">
      <alignment horizontal="center" vertical="center"/>
    </xf>
    <xf borderId="7" fillId="5" fontId="6" numFmtId="0" xfId="0" applyAlignment="1" applyBorder="1" applyFill="1" applyFont="1">
      <alignment horizontal="center" shrinkToFit="0" vertical="center" wrapText="1"/>
    </xf>
    <xf borderId="7" fillId="6" fontId="7" numFmtId="0" xfId="0" applyAlignment="1" applyBorder="1" applyFill="1" applyFont="1">
      <alignment horizontal="center" vertical="center"/>
    </xf>
    <xf borderId="7" fillId="6" fontId="8" numFmtId="0" xfId="0" applyAlignment="1" applyBorder="1" applyFill="1" applyFont="1">
      <alignment horizontal="center" shrinkToFit="0" vertical="center" wrapText="1"/>
    </xf>
    <xf borderId="7" fillId="6" fontId="7" numFmtId="3" xfId="0" applyAlignment="1" applyBorder="1" applyFill="1" applyFont="1" applyNumberFormat="1">
      <alignment horizontal="center" vertical="center"/>
    </xf>
    <xf borderId="8" fillId="7" fontId="9" numFmtId="0" xfId="0" applyAlignment="1" applyBorder="1" applyFill="1" applyFont="1">
      <alignment horizontal="center" readingOrder="0" shrinkToFit="0" vertical="center" wrapText="0"/>
    </xf>
    <xf borderId="7" fillId="8" fontId="7" numFmtId="3" xfId="0" applyAlignment="1" applyBorder="1" applyFill="1" applyFont="1" applyNumberFormat="1">
      <alignment horizontal="center" vertical="center"/>
    </xf>
    <xf borderId="9" fillId="0" fontId="5" numFmtId="0" xfId="0" applyBorder="1" applyFont="1"/>
    <xf borderId="8" fillId="9" fontId="10" numFmtId="0" xfId="0" applyAlignment="1" applyBorder="1" applyFill="1" applyFont="1">
      <alignment horizontal="center" readingOrder="0" shrinkToFit="0" vertical="center" wrapText="0"/>
    </xf>
    <xf borderId="7" fillId="6" fontId="7" numFmtId="3" xfId="0" applyAlignment="1" applyBorder="1" applyFill="1" applyFont="1" applyNumberFormat="1">
      <alignment horizontal="center" shrinkToFit="0" vertical="center" wrapText="1"/>
    </xf>
    <xf borderId="7" fillId="0" fontId="11" numFmtId="0" xfId="0" applyAlignment="1" applyBorder="1" applyFont="1">
      <alignment horizontal="center" shrinkToFit="0" vertical="center" wrapText="0"/>
    </xf>
    <xf borderId="8" fillId="9" fontId="12" numFmtId="3" xfId="0" applyAlignment="1" applyBorder="1" applyFill="1" applyFont="1" applyNumberFormat="1">
      <alignment horizontal="center" readingOrder="0" shrinkToFit="0" vertical="center" wrapText="0"/>
    </xf>
    <xf borderId="10" fillId="0" fontId="5" numFmtId="0" xfId="0" applyBorder="1" applyFont="1"/>
    <xf borderId="7" fillId="6" fontId="8" numFmtId="0" xfId="0" applyAlignment="1" applyBorder="1" applyFill="1" applyFont="1">
      <alignment horizontal="center" readingOrder="0" shrinkToFit="0" vertical="center" wrapText="1"/>
    </xf>
    <xf borderId="11" fillId="6" fontId="7" numFmtId="0" xfId="0" applyBorder="1" applyFill="1" applyFont="1"/>
    <xf borderId="7" fillId="9" fontId="13" numFmtId="0" xfId="0" applyAlignment="1" applyBorder="1" applyFill="1" applyFont="1">
      <alignment horizontal="center" readingOrder="0" shrinkToFit="0" vertical="center" wrapText="0"/>
    </xf>
    <xf borderId="11" fillId="6" fontId="7" numFmtId="0" xfId="0" applyAlignment="1" applyBorder="1" applyFill="1" applyFont="1">
      <alignment shrinkToFit="0" wrapText="1"/>
    </xf>
    <xf borderId="7" fillId="10" fontId="6" numFmtId="3" xfId="0" applyAlignment="1" applyBorder="1" applyFill="1" applyFont="1" applyNumberFormat="1">
      <alignment horizontal="center" vertical="center"/>
    </xf>
    <xf borderId="7" fillId="10" fontId="14" numFmtId="164" xfId="0" applyAlignment="1" applyBorder="1" applyFill="1" applyFont="1" applyNumberFormat="1">
      <alignment horizontal="center" vertical="center"/>
    </xf>
    <xf borderId="7" fillId="10" fontId="6" numFmtId="3" xfId="0" applyAlignment="1" applyBorder="1" applyFill="1" applyFont="1" applyNumberFormat="1">
      <alignment horizontal="center" shrinkToFit="0" vertical="center" wrapText="1"/>
    </xf>
    <xf borderId="0" fillId="0" fontId="3" numFmtId="0" xfId="0" applyAlignment="1" applyFont="1">
      <alignment shrinkToFit="0" wrapText="1"/>
    </xf>
    <xf borderId="7" fillId="9" fontId="15" numFmtId="3" xfId="0" applyAlignment="1" applyBorder="1" applyFill="1" applyFont="1" applyNumberFormat="1">
      <alignment horizontal="center" readingOrder="0" shrinkToFit="0" vertical="center" wrapText="0"/>
    </xf>
    <xf borderId="7" fillId="9" fontId="15" numFmtId="9" xfId="0" applyAlignment="1" applyBorder="1" applyFill="1" applyFont="1" applyNumberFormat="1">
      <alignment horizontal="center" readingOrder="0" shrinkToFit="0" vertical="center" wrapText="0"/>
    </xf>
    <xf borderId="7" fillId="0" fontId="15" numFmtId="0" xfId="0" applyAlignment="1" applyBorder="1" applyFont="1">
      <alignment horizontal="center" shrinkToFit="0" vertical="center" wrapText="0"/>
    </xf>
    <xf borderId="7" fillId="0" fontId="16" numFmtId="0" xfId="0" applyAlignment="1" applyBorder="1" applyFont="1">
      <alignment horizontal="center" shrinkToFit="0" vertical="center" wrapText="0"/>
    </xf>
    <xf borderId="7" fillId="7" fontId="17" numFmtId="0" xfId="0" applyAlignment="1" applyBorder="1" applyFill="1" applyFont="1">
      <alignment horizontal="center" shrinkToFit="0" vertical="center" wrapText="0"/>
    </xf>
    <xf borderId="7" fillId="7" fontId="11" numFmtId="0" xfId="0" applyAlignment="1" applyBorder="1" applyFill="1" applyFont="1">
      <alignment horizontal="center" shrinkToFit="0" vertical="center" wrapText="0"/>
    </xf>
    <xf borderId="7" fillId="9" fontId="15" numFmtId="0" xfId="0" applyAlignment="1" applyBorder="1" applyFill="1" applyFont="1">
      <alignment horizontal="center" readingOrder="0" shrinkToFit="0" vertical="center" wrapText="0"/>
    </xf>
    <xf borderId="0" fillId="0" fontId="18" numFmtId="0" xfId="0" applyFont="1"/>
    <xf borderId="0" fillId="0" fontId="3" numFmtId="3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20">
    <tableStyle count="2" pivot="0" name="Archer Training I-style">
      <tableStyleElement dxfId="1" type="firstRowStripe"/>
      <tableStyleElement dxfId="2" type="secondRowStripe"/>
    </tableStyle>
    <tableStyle count="2" pivot="0" name="Cavalry Training I-style">
      <tableStyleElement dxfId="1" type="firstRowStripe"/>
      <tableStyleElement dxfId="2" type="secondRowStripe"/>
    </tableStyle>
    <tableStyle count="2" pivot="0" name="Footman Training I-style">
      <tableStyleElement dxfId="1" type="firstRowStripe"/>
      <tableStyleElement dxfId="2" type="secondRowStripe"/>
    </tableStyle>
    <tableStyle count="2" pivot="0" name="Archer Training I-style 2">
      <tableStyleElement dxfId="1" type="firstRowStripe"/>
      <tableStyleElement dxfId="2" type="secondRowStripe"/>
    </tableStyle>
    <tableStyle count="2" pivot="0" name="Cavalry Training I-style 2">
      <tableStyleElement dxfId="1" type="firstRowStripe"/>
      <tableStyleElement dxfId="2" type="secondRowStripe"/>
    </tableStyle>
    <tableStyle count="2" pivot="0" name="Archer Training I-style 3">
      <tableStyleElement dxfId="1" type="firstRowStripe"/>
      <tableStyleElement dxfId="2" type="secondRowStripe"/>
    </tableStyle>
    <tableStyle count="2" pivot="0" name="Footman Training I-style 2">
      <tableStyleElement dxfId="1" type="firstRowStripe"/>
      <tableStyleElement dxfId="2" type="secondRowStripe"/>
    </tableStyle>
    <tableStyle count="2" pivot="0" name="Archer Training I-style 4">
      <tableStyleElement dxfId="1" type="firstRowStripe"/>
      <tableStyleElement dxfId="2" type="secondRowStripe"/>
    </tableStyle>
    <tableStyle count="2" pivot="0" name="Footman Training I-style 3">
      <tableStyleElement dxfId="1" type="firstRowStripe"/>
      <tableStyleElement dxfId="2" type="secondRowStripe"/>
    </tableStyle>
    <tableStyle count="2" pivot="0" name="Cavalry Training I-style 3">
      <tableStyleElement dxfId="1" type="firstRowStripe"/>
      <tableStyleElement dxfId="2" type="secondRowStripe"/>
    </tableStyle>
    <tableStyle count="2" pivot="0" name="Cavalry Training I-style 4">
      <tableStyleElement dxfId="1" type="firstRowStripe"/>
      <tableStyleElement dxfId="2" type="secondRowStripe"/>
    </tableStyle>
    <tableStyle count="2" pivot="0" name="Footman Training I-style 4">
      <tableStyleElement dxfId="1" type="firstRowStripe"/>
      <tableStyleElement dxfId="2" type="secondRowStripe"/>
    </tableStyle>
    <tableStyle count="2" pivot="0" name="Footman Training II-style">
      <tableStyleElement dxfId="1" type="firstRowStripe"/>
      <tableStyleElement dxfId="2" type="secondRowStripe"/>
    </tableStyle>
    <tableStyle count="2" pivot="0" name="Footman Training II-style 2">
      <tableStyleElement dxfId="1" type="firstRowStripe"/>
      <tableStyleElement dxfId="2" type="secondRowStripe"/>
    </tableStyle>
    <tableStyle count="2" pivot="0" name="Footman Training II-style 3">
      <tableStyleElement dxfId="1" type="firstRowStripe"/>
      <tableStyleElement dxfId="2" type="secondRowStripe"/>
    </tableStyle>
    <tableStyle count="2" pivot="0" name="Footman Training II-style 4">
      <tableStyleElement dxfId="1" type="firstRowStripe"/>
      <tableStyleElement dxfId="2" type="secondRowStripe"/>
    </tableStyle>
    <tableStyle count="2" pivot="0" name="Cavalry Training II-style">
      <tableStyleElement dxfId="1" type="firstRowStripe"/>
      <tableStyleElement dxfId="2" type="secondRowStripe"/>
    </tableStyle>
    <tableStyle count="2" pivot="0" name="Cavalry Training II-style 2">
      <tableStyleElement dxfId="1" type="firstRowStripe"/>
      <tableStyleElement dxfId="2" type="secondRowStripe"/>
    </tableStyle>
    <tableStyle count="2" pivot="0" name="Cavalry Training II-style 3">
      <tableStyleElement dxfId="1" type="firstRowStripe"/>
      <tableStyleElement dxfId="2" type="secondRowStripe"/>
    </tableStyle>
    <tableStyle count="2" pivot="0" name="Cavalry Training II-style 4">
      <tableStyleElement dxfId="1" type="firstRowStripe"/>
      <tableStyleElement dxfId="2" type="secondRowStripe"/>
    </tableStyle>
    <tableStyle count="2" pivot="0" name="Archer Training II-style">
      <tableStyleElement dxfId="1" type="firstRowStripe"/>
      <tableStyleElement dxfId="2" type="secondRowStripe"/>
    </tableStyle>
    <tableStyle count="2" pivot="0" name="Archer Training II-style 2">
      <tableStyleElement dxfId="1" type="firstRowStripe"/>
      <tableStyleElement dxfId="2" type="secondRowStripe"/>
    </tableStyle>
    <tableStyle count="2" pivot="0" name="Archer Training II-style 3">
      <tableStyleElement dxfId="1" type="firstRowStripe"/>
      <tableStyleElement dxfId="2" type="secondRowStripe"/>
    </tableStyle>
    <tableStyle count="2" pivot="0" name="Archer Training II-style 4">
      <tableStyleElement dxfId="1" type="firstRowStripe"/>
      <tableStyleElement dxfId="2" type="secondRowStripe"/>
    </tableStyle>
    <tableStyle count="2" pivot="0" name="Footman Training III-style">
      <tableStyleElement dxfId="1" type="firstRowStripe"/>
      <tableStyleElement dxfId="2" type="secondRowStripe"/>
    </tableStyle>
    <tableStyle count="2" pivot="0" name="Footman Training III-style 2">
      <tableStyleElement dxfId="1" type="firstRowStripe"/>
      <tableStyleElement dxfId="2" type="secondRowStripe"/>
    </tableStyle>
    <tableStyle count="2" pivot="0" name="Footman Training III-style 3">
      <tableStyleElement dxfId="1" type="firstRowStripe"/>
      <tableStyleElement dxfId="2" type="secondRowStripe"/>
    </tableStyle>
    <tableStyle count="2" pivot="0" name="Footman Training III-style 4">
      <tableStyleElement dxfId="1" type="firstRowStripe"/>
      <tableStyleElement dxfId="2" type="secondRowStripe"/>
    </tableStyle>
    <tableStyle count="2" pivot="0" name="Cavalry Training III-style">
      <tableStyleElement dxfId="1" type="firstRowStripe"/>
      <tableStyleElement dxfId="2" type="secondRowStripe"/>
    </tableStyle>
    <tableStyle count="2" pivot="0" name="Cavalry Training III-style 2">
      <tableStyleElement dxfId="1" type="firstRowStripe"/>
      <tableStyleElement dxfId="2" type="secondRowStripe"/>
    </tableStyle>
    <tableStyle count="2" pivot="0" name="Cavalry Training III-style 3">
      <tableStyleElement dxfId="1" type="firstRowStripe"/>
      <tableStyleElement dxfId="2" type="secondRowStripe"/>
    </tableStyle>
    <tableStyle count="2" pivot="0" name="Cavalry Training III-style 4">
      <tableStyleElement dxfId="1" type="firstRowStripe"/>
      <tableStyleElement dxfId="2" type="secondRowStripe"/>
    </tableStyle>
    <tableStyle count="2" pivot="0" name="Archer Training III-style">
      <tableStyleElement dxfId="1" type="firstRowStripe"/>
      <tableStyleElement dxfId="2" type="secondRowStripe"/>
    </tableStyle>
    <tableStyle count="2" pivot="0" name="Archer Training III-style 2">
      <tableStyleElement dxfId="1" type="firstRowStripe"/>
      <tableStyleElement dxfId="2" type="secondRowStripe"/>
    </tableStyle>
    <tableStyle count="2" pivot="0" name="Archer Training III-style 3">
      <tableStyleElement dxfId="1" type="firstRowStripe"/>
      <tableStyleElement dxfId="2" type="secondRowStripe"/>
    </tableStyle>
    <tableStyle count="2" pivot="0" name="Archer Training III-style 4">
      <tableStyleElement dxfId="1" type="firstRowStripe"/>
      <tableStyleElement dxfId="2" type="secondRowStripe"/>
    </tableStyle>
    <tableStyle count="2" pivot="0" name="Footman Training IV-style">
      <tableStyleElement dxfId="1" type="firstRowStripe"/>
      <tableStyleElement dxfId="2" type="secondRowStripe"/>
    </tableStyle>
    <tableStyle count="2" pivot="0" name="Footman Training IV-style 2">
      <tableStyleElement dxfId="1" type="firstRowStripe"/>
      <tableStyleElement dxfId="2" type="secondRowStripe"/>
    </tableStyle>
    <tableStyle count="2" pivot="0" name="Footman Training IV-style 3">
      <tableStyleElement dxfId="1" type="firstRowStripe"/>
      <tableStyleElement dxfId="2" type="secondRowStripe"/>
    </tableStyle>
    <tableStyle count="2" pivot="0" name="Footman Training IV-style 4">
      <tableStyleElement dxfId="1" type="firstRowStripe"/>
      <tableStyleElement dxfId="2" type="secondRowStripe"/>
    </tableStyle>
    <tableStyle count="2" pivot="0" name="Cavalry Training IV-style">
      <tableStyleElement dxfId="1" type="firstRowStripe"/>
      <tableStyleElement dxfId="2" type="secondRowStripe"/>
    </tableStyle>
    <tableStyle count="2" pivot="0" name="Cavalry Training IV-style 2">
      <tableStyleElement dxfId="1" type="firstRowStripe"/>
      <tableStyleElement dxfId="2" type="secondRowStripe"/>
    </tableStyle>
    <tableStyle count="2" pivot="0" name="Cavalry Training IV-style 3">
      <tableStyleElement dxfId="1" type="firstRowStripe"/>
      <tableStyleElement dxfId="2" type="secondRowStripe"/>
    </tableStyle>
    <tableStyle count="2" pivot="0" name="Cavalry Training IV-style 4">
      <tableStyleElement dxfId="1" type="firstRowStripe"/>
      <tableStyleElement dxfId="2" type="secondRowStripe"/>
    </tableStyle>
    <tableStyle count="2" pivot="0" name="Archer Training IV-style">
      <tableStyleElement dxfId="1" type="firstRowStripe"/>
      <tableStyleElement dxfId="2" type="secondRowStripe"/>
    </tableStyle>
    <tableStyle count="2" pivot="0" name="Archer Training IV-style 2">
      <tableStyleElement dxfId="1" type="firstRowStripe"/>
      <tableStyleElement dxfId="2" type="secondRowStripe"/>
    </tableStyle>
    <tableStyle count="2" pivot="0" name="Archer Training IV-style 3">
      <tableStyleElement dxfId="1" type="firstRowStripe"/>
      <tableStyleElement dxfId="2" type="secondRowStripe"/>
    </tableStyle>
    <tableStyle count="2" pivot="0" name="Archer Training IV-style 4">
      <tableStyleElement dxfId="1" type="firstRowStripe"/>
      <tableStyleElement dxfId="2" type="secondRowStripe"/>
    </tableStyle>
    <tableStyle count="2" pivot="0" name="Footman Training V-style">
      <tableStyleElement dxfId="1" type="firstRowStripe"/>
      <tableStyleElement dxfId="2" type="secondRowStripe"/>
    </tableStyle>
    <tableStyle count="2" pivot="0" name="Footman Training V-style 2">
      <tableStyleElement dxfId="1" type="firstRowStripe"/>
      <tableStyleElement dxfId="2" type="secondRowStripe"/>
    </tableStyle>
    <tableStyle count="2" pivot="0" name="Footman Training V-style 3">
      <tableStyleElement dxfId="1" type="firstRowStripe"/>
      <tableStyleElement dxfId="2" type="secondRowStripe"/>
    </tableStyle>
    <tableStyle count="2" pivot="0" name="Footman Training V-style 4">
      <tableStyleElement dxfId="1" type="firstRowStripe"/>
      <tableStyleElement dxfId="2" type="secondRowStripe"/>
    </tableStyle>
    <tableStyle count="2" pivot="0" name="Cavalry Training V-style">
      <tableStyleElement dxfId="1" type="firstRowStripe"/>
      <tableStyleElement dxfId="2" type="secondRowStripe"/>
    </tableStyle>
    <tableStyle count="2" pivot="0" name="Cavalry Training V-style 2">
      <tableStyleElement dxfId="1" type="firstRowStripe"/>
      <tableStyleElement dxfId="2" type="secondRowStripe"/>
    </tableStyle>
    <tableStyle count="2" pivot="0" name="Cavalry Training V-style 3">
      <tableStyleElement dxfId="1" type="firstRowStripe"/>
      <tableStyleElement dxfId="2" type="secondRowStripe"/>
    </tableStyle>
    <tableStyle count="2" pivot="0" name="Cavalry Training V-style 4">
      <tableStyleElement dxfId="1" type="firstRowStripe"/>
      <tableStyleElement dxfId="2" type="secondRowStripe"/>
    </tableStyle>
    <tableStyle count="2" pivot="0" name="Archer Training V-style">
      <tableStyleElement dxfId="1" type="firstRowStripe"/>
      <tableStyleElement dxfId="2" type="secondRowStripe"/>
    </tableStyle>
    <tableStyle count="2" pivot="0" name="Archer Training V-style 2">
      <tableStyleElement dxfId="1" type="firstRowStripe"/>
      <tableStyleElement dxfId="2" type="secondRowStripe"/>
    </tableStyle>
    <tableStyle count="2" pivot="0" name="Archer Training V-style 3">
      <tableStyleElement dxfId="1" type="firstRowStripe"/>
      <tableStyleElement dxfId="2" type="secondRowStripe"/>
    </tableStyle>
    <tableStyle count="2" pivot="0" name="Archer Training V-style 4">
      <tableStyleElement dxfId="1" type="firstRowStripe"/>
      <tableStyleElement dxfId="2" type="secondRowStripe"/>
    </tableStyle>
    <tableStyle count="2" pivot="0" name="Footman Training VI-style">
      <tableStyleElement dxfId="1" type="firstRowStripe"/>
      <tableStyleElement dxfId="2" type="secondRowStripe"/>
    </tableStyle>
    <tableStyle count="2" pivot="0" name="Footman Training VI-style 2">
      <tableStyleElement dxfId="1" type="firstRowStripe"/>
      <tableStyleElement dxfId="2" type="secondRowStripe"/>
    </tableStyle>
    <tableStyle count="2" pivot="0" name="Footman Training VI-style 3">
      <tableStyleElement dxfId="1" type="firstRowStripe"/>
      <tableStyleElement dxfId="2" type="secondRowStripe"/>
    </tableStyle>
    <tableStyle count="2" pivot="0" name="Footman Training VI-style 4">
      <tableStyleElement dxfId="1" type="firstRowStripe"/>
      <tableStyleElement dxfId="2" type="secondRowStripe"/>
    </tableStyle>
    <tableStyle count="2" pivot="0" name="Cavalry Training VI-style">
      <tableStyleElement dxfId="1" type="firstRowStripe"/>
      <tableStyleElement dxfId="2" type="secondRowStripe"/>
    </tableStyle>
    <tableStyle count="2" pivot="0" name="Cavalry Training VI-style 2">
      <tableStyleElement dxfId="1" type="firstRowStripe"/>
      <tableStyleElement dxfId="2" type="secondRowStripe"/>
    </tableStyle>
    <tableStyle count="2" pivot="0" name="Cavalry Training VI-style 3">
      <tableStyleElement dxfId="1" type="firstRowStripe"/>
      <tableStyleElement dxfId="2" type="secondRowStripe"/>
    </tableStyle>
    <tableStyle count="2" pivot="0" name="Cavalry Training VI-style 4">
      <tableStyleElement dxfId="1" type="firstRowStripe"/>
      <tableStyleElement dxfId="2" type="secondRowStripe"/>
    </tableStyle>
    <tableStyle count="2" pivot="0" name="Archer Training VI-style">
      <tableStyleElement dxfId="1" type="firstRowStripe"/>
      <tableStyleElement dxfId="2" type="secondRowStripe"/>
    </tableStyle>
    <tableStyle count="2" pivot="0" name="Archer Training VI-style 2">
      <tableStyleElement dxfId="1" type="firstRowStripe"/>
      <tableStyleElement dxfId="2" type="secondRowStripe"/>
    </tableStyle>
    <tableStyle count="2" pivot="0" name="Archer Training VI-style 3">
      <tableStyleElement dxfId="1" type="firstRowStripe"/>
      <tableStyleElement dxfId="2" type="secondRowStripe"/>
    </tableStyle>
    <tableStyle count="2" pivot="0" name="Archer Training VI-style 4">
      <tableStyleElement dxfId="1" type="firstRowStripe"/>
      <tableStyleElement dxfId="2" type="secondRowStripe"/>
    </tableStyle>
    <tableStyle count="2" pivot="0" name="Footman Training VII-style">
      <tableStyleElement dxfId="1" type="firstRowStripe"/>
      <tableStyleElement dxfId="2" type="secondRowStripe"/>
    </tableStyle>
    <tableStyle count="2" pivot="0" name="Footman Training VII-style 2">
      <tableStyleElement dxfId="1" type="firstRowStripe"/>
      <tableStyleElement dxfId="2" type="secondRowStripe"/>
    </tableStyle>
    <tableStyle count="2" pivot="0" name="Footman Training VII-style 3">
      <tableStyleElement dxfId="1" type="firstRowStripe"/>
      <tableStyleElement dxfId="2" type="secondRowStripe"/>
    </tableStyle>
    <tableStyle count="2" pivot="0" name="Footman Training VII-style 4">
      <tableStyleElement dxfId="1" type="firstRowStripe"/>
      <tableStyleElement dxfId="2" type="secondRowStripe"/>
    </tableStyle>
    <tableStyle count="2" pivot="0" name="Cavalry Training VII-style">
      <tableStyleElement dxfId="1" type="firstRowStripe"/>
      <tableStyleElement dxfId="2" type="secondRowStripe"/>
    </tableStyle>
    <tableStyle count="2" pivot="0" name="Cavalry Training VII-style 2">
      <tableStyleElement dxfId="1" type="firstRowStripe"/>
      <tableStyleElement dxfId="2" type="secondRowStripe"/>
    </tableStyle>
    <tableStyle count="2" pivot="0" name="Cavalry Training VII-style 3">
      <tableStyleElement dxfId="1" type="firstRowStripe"/>
      <tableStyleElement dxfId="2" type="secondRowStripe"/>
    </tableStyle>
    <tableStyle count="2" pivot="0" name="Cavalry Training VII-style 4">
      <tableStyleElement dxfId="1" type="firstRowStripe"/>
      <tableStyleElement dxfId="2" type="secondRowStripe"/>
    </tableStyle>
    <tableStyle count="2" pivot="0" name="Archer Training VII-style">
      <tableStyleElement dxfId="1" type="firstRowStripe"/>
      <tableStyleElement dxfId="2" type="secondRowStripe"/>
    </tableStyle>
    <tableStyle count="2" pivot="0" name="Archer Training VII-style 2">
      <tableStyleElement dxfId="1" type="firstRowStripe"/>
      <tableStyleElement dxfId="2" type="secondRowStripe"/>
    </tableStyle>
    <tableStyle count="2" pivot="0" name="Archer Training VII-style 3">
      <tableStyleElement dxfId="1" type="firstRowStripe"/>
      <tableStyleElement dxfId="2" type="secondRowStripe"/>
    </tableStyle>
    <tableStyle count="2" pivot="0" name="Archer Training VII-style 4">
      <tableStyleElement dxfId="1" type="firstRowStripe"/>
      <tableStyleElement dxfId="2" type="secondRowStripe"/>
    </tableStyle>
    <tableStyle count="2" pivot="0" name="Cavalry Training VIII-style">
      <tableStyleElement dxfId="1" type="firstRowStripe"/>
      <tableStyleElement dxfId="2" type="secondRowStripe"/>
    </tableStyle>
    <tableStyle count="2" pivot="0" name="Cavalry Training VIII-style 2">
      <tableStyleElement dxfId="1" type="firstRowStripe"/>
      <tableStyleElement dxfId="2" type="secondRowStripe"/>
    </tableStyle>
    <tableStyle count="2" pivot="0" name="Cavalry Training VIII-style 3">
      <tableStyleElement dxfId="1" type="firstRowStripe"/>
      <tableStyleElement dxfId="2" type="secondRowStripe"/>
    </tableStyle>
    <tableStyle count="2" pivot="0" name="Cavalry Training VIII-style 4">
      <tableStyleElement dxfId="1" type="firstRowStripe"/>
      <tableStyleElement dxfId="2" type="secondRowStripe"/>
    </tableStyle>
    <tableStyle count="2" pivot="0" name="Footman Training VIII-style">
      <tableStyleElement dxfId="1" type="firstRowStripe"/>
      <tableStyleElement dxfId="2" type="secondRowStripe"/>
    </tableStyle>
    <tableStyle count="2" pivot="0" name="Footman Training VIII-style 2">
      <tableStyleElement dxfId="1" type="firstRowStripe"/>
      <tableStyleElement dxfId="2" type="secondRowStripe"/>
    </tableStyle>
    <tableStyle count="2" pivot="0" name="Footman Training VIII-style 3">
      <tableStyleElement dxfId="1" type="firstRowStripe"/>
      <tableStyleElement dxfId="2" type="secondRowStripe"/>
    </tableStyle>
    <tableStyle count="2" pivot="0" name="Footman Training VIII-style 4">
      <tableStyleElement dxfId="1" type="firstRowStripe"/>
      <tableStyleElement dxfId="2" type="secondRowStripe"/>
    </tableStyle>
    <tableStyle count="2" pivot="0" name="Archer Training VIII-style">
      <tableStyleElement dxfId="1" type="firstRowStripe"/>
      <tableStyleElement dxfId="2" type="secondRowStripe"/>
    </tableStyle>
    <tableStyle count="2" pivot="0" name="Archer Training VIII-style 2">
      <tableStyleElement dxfId="1" type="firstRowStripe"/>
      <tableStyleElement dxfId="2" type="secondRowStripe"/>
    </tableStyle>
    <tableStyle count="2" pivot="0" name="Archer Training VIII-style 3">
      <tableStyleElement dxfId="1" type="firstRowStripe"/>
      <tableStyleElement dxfId="2" type="secondRowStripe"/>
    </tableStyle>
    <tableStyle count="2" pivot="0" name="Archer Training VIII-style 4">
      <tableStyleElement dxfId="1" type="firstRowStripe"/>
      <tableStyleElement dxfId="2" type="secondRowStripe"/>
    </tableStyle>
    <tableStyle count="2" pivot="0" name="Footman Training IX-style">
      <tableStyleElement dxfId="1" type="firstRowStripe"/>
      <tableStyleElement dxfId="2" type="secondRowStripe"/>
    </tableStyle>
    <tableStyle count="2" pivot="0" name="Footman Training IX-style 2">
      <tableStyleElement dxfId="1" type="firstRowStripe"/>
      <tableStyleElement dxfId="2" type="secondRowStripe"/>
    </tableStyle>
    <tableStyle count="2" pivot="0" name="Footman Training IX-style 3">
      <tableStyleElement dxfId="1" type="firstRowStripe"/>
      <tableStyleElement dxfId="2" type="secondRowStripe"/>
    </tableStyle>
    <tableStyle count="2" pivot="0" name="Footman Training IX-style 4">
      <tableStyleElement dxfId="1" type="firstRowStripe"/>
      <tableStyleElement dxfId="2" type="secondRowStripe"/>
    </tableStyle>
    <tableStyle count="2" pivot="0" name="Cavalry Training IX-style">
      <tableStyleElement dxfId="1" type="firstRowStripe"/>
      <tableStyleElement dxfId="2" type="secondRowStripe"/>
    </tableStyle>
    <tableStyle count="2" pivot="0" name="Cavalry Training IX-style 2">
      <tableStyleElement dxfId="1" type="firstRowStripe"/>
      <tableStyleElement dxfId="2" type="secondRowStripe"/>
    </tableStyle>
    <tableStyle count="2" pivot="0" name="Cavalry Training IX-style 3">
      <tableStyleElement dxfId="1" type="firstRowStripe"/>
      <tableStyleElement dxfId="2" type="secondRowStripe"/>
    </tableStyle>
    <tableStyle count="2" pivot="0" name="Cavalry Training IX-style 4">
      <tableStyleElement dxfId="1" type="firstRowStripe"/>
      <tableStyleElement dxfId="2" type="secondRowStripe"/>
    </tableStyle>
    <tableStyle count="2" pivot="0" name="Archer Training IX-style">
      <tableStyleElement dxfId="1" type="firstRowStripe"/>
      <tableStyleElement dxfId="2" type="secondRowStripe"/>
    </tableStyle>
    <tableStyle count="2" pivot="0" name="Archer Training IX-style 2">
      <tableStyleElement dxfId="1" type="firstRowStripe"/>
      <tableStyleElement dxfId="2" type="secondRowStripe"/>
    </tableStyle>
    <tableStyle count="2" pivot="0" name="Archer Training IX-style 3">
      <tableStyleElement dxfId="1" type="firstRowStripe"/>
      <tableStyleElement dxfId="2" type="secondRowStripe"/>
    </tableStyle>
    <tableStyle count="2" pivot="0" name="Archer Training IX-style 4">
      <tableStyleElement dxfId="1" type="firstRowStripe"/>
      <tableStyleElement dxfId="2" type="secondRowStripe"/>
    </tableStyle>
    <tableStyle count="2" pivot="0" name="Cavalry Training X-style">
      <tableStyleElement dxfId="1" type="firstRowStripe"/>
      <tableStyleElement dxfId="2" type="secondRowStripe"/>
    </tableStyle>
    <tableStyle count="2" pivot="0" name="Footman Training X-style">
      <tableStyleElement dxfId="1" type="firstRowStripe"/>
      <tableStyleElement dxfId="2" type="secondRowStripe"/>
    </tableStyle>
    <tableStyle count="2" pivot="0" name="Archer Training X-style">
      <tableStyleElement dxfId="1" type="firstRowStripe"/>
      <tableStyleElement dxfId="2" type="secondRowStripe"/>
    </tableStyle>
    <tableStyle count="2" pivot="0" name="Cavalry Training X-style 2">
      <tableStyleElement dxfId="1" type="firstRowStripe"/>
      <tableStyleElement dxfId="2" type="secondRowStripe"/>
    </tableStyle>
    <tableStyle count="2" pivot="0" name="Footman Training X-style 2">
      <tableStyleElement dxfId="1" type="firstRowStripe"/>
      <tableStyleElement dxfId="2" type="secondRowStripe"/>
    </tableStyle>
    <tableStyle count="2" pivot="0" name="Cavalry Training X-style 3">
      <tableStyleElement dxfId="1" type="firstRowStripe"/>
      <tableStyleElement dxfId="2" type="secondRowStripe"/>
    </tableStyle>
    <tableStyle count="2" pivot="0" name="Archer Training X-style 2">
      <tableStyleElement dxfId="1" type="firstRowStripe"/>
      <tableStyleElement dxfId="2" type="secondRowStripe"/>
    </tableStyle>
    <tableStyle count="2" pivot="0" name="Cavalry Training X-style 4">
      <tableStyleElement dxfId="1" type="firstRowStripe"/>
      <tableStyleElement dxfId="2" type="secondRowStripe"/>
    </tableStyle>
    <tableStyle count="2" pivot="0" name="Archer Training X-style 3">
      <tableStyleElement dxfId="1" type="firstRowStripe"/>
      <tableStyleElement dxfId="2" type="secondRowStripe"/>
    </tableStyle>
    <tableStyle count="2" pivot="0" name="Footman Training X-style 3">
      <tableStyleElement dxfId="1" type="firstRowStripe"/>
      <tableStyleElement dxfId="2" type="secondRowStripe"/>
    </tableStyle>
    <tableStyle count="2" pivot="0" name="Archer Training X-style 4">
      <tableStyleElement dxfId="1" type="firstRowStripe"/>
      <tableStyleElement dxfId="2" type="secondRowStripe"/>
    </tableStyle>
    <tableStyle count="2" pivot="0" name="Footman Training X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G14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I-style" showColumnStripes="0" showFirstColumn="1" showLastColumn="1" showRowStripes="1"/>
</table>
</file>

<file path=xl/tables/table2.xml><?xml version="1.0" encoding="utf-8"?>
<table xmlns="http://schemas.openxmlformats.org/spreadsheetml/2006/main" headerRowCount="0" ref="A20:G33" displayName="Table_6" name="Table_6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I-style 2" showColumnStripes="0" showFirstColumn="1" showLastColumn="1" showRowStripes="1"/>
</table>
</file>

<file path=xl/tables/table3.xml><?xml version="1.0" encoding="utf-8"?>
<table xmlns="http://schemas.openxmlformats.org/spreadsheetml/2006/main" headerRowCount="0" ref="A39:G55" displayName="Table_10" name="Table_10" id="1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I-style 3" showColumnStripes="0" showFirstColumn="1" showLastColumn="1" showRowStripes="1"/>
</table>
</file>

<file path=xl/tables/table4.xml><?xml version="1.0" encoding="utf-8"?>
<table xmlns="http://schemas.openxmlformats.org/spreadsheetml/2006/main" headerRowCount="0" ref="A61:G84" displayName="Table_11" name="Table_11" id="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I-style 4" showColumnStripes="0" showFirstColumn="1" showLastColumn="1" showRowStripes="1"/>
</table>
</file>

<file path=xl/tables/table5.xml><?xml version="1.0" encoding="utf-8"?>
<table xmlns="http://schemas.openxmlformats.org/spreadsheetml/2006/main" headerRowCount="0" ref="A4:G14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I-style" showColumnStripes="0" showFirstColumn="1" showLastColumn="1" showRowStripes="1"/>
</table>
</file>

<file path=xl/tables/table6.xml><?xml version="1.0" encoding="utf-8"?>
<table xmlns="http://schemas.openxmlformats.org/spreadsheetml/2006/main" headerRowCount="0" ref="A20:G33" displayName="Table_5" name="Table_5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I-style 2" showColumnStripes="0" showFirstColumn="1" showLastColumn="1" showRowStripes="1"/>
</table>
</file>

<file path=xl/tables/table7.xml><?xml version="1.0" encoding="utf-8"?>
<table xmlns="http://schemas.openxmlformats.org/spreadsheetml/2006/main" headerRowCount="0" ref="A39:G55" displayName="Table_9" name="Table_9" id="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I-style 3" showColumnStripes="0" showFirstColumn="1" showLastColumn="1" showRowStripes="1"/>
</table>
</file>

<file path=xl/tables/table8.xml><?xml version="1.0" encoding="utf-8"?>
<table xmlns="http://schemas.openxmlformats.org/spreadsheetml/2006/main" headerRowCount="0" ref="A61:G84" displayName="Table_12" name="Table_12" id="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I-style 4" showColumnStripes="0" showFirstColumn="1" showLastColumn="1" showRowStripes="1"/>
</table>
</file>

<file path=xl/tables/table9.xml><?xml version="1.0" encoding="utf-8"?>
<table xmlns="http://schemas.openxmlformats.org/spreadsheetml/2006/main" headerRowCount="0" ref="A4:G14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I-style" showColumnStripes="0" showFirstColumn="1" showLastColumn="1" showRowStripes="1"/>
</table>
</file>

<file path=xl/tables/table10.xml><?xml version="1.0" encoding="utf-8"?>
<table xmlns="http://schemas.openxmlformats.org/spreadsheetml/2006/main" headerRowCount="0" ref="A20:G33" displayName="Table_4" name="Table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I-style 2" showColumnStripes="0" showFirstColumn="1" showLastColumn="1" showRowStripes="1"/>
</table>
</file>

<file path=xl/tables/table11.xml><?xml version="1.0" encoding="utf-8"?>
<table xmlns="http://schemas.openxmlformats.org/spreadsheetml/2006/main" headerRowCount="0" ref="A39:G55" displayName="Table_7" name="Table_7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I-style 3" showColumnStripes="0" showFirstColumn="1" showLastColumn="1" showRowStripes="1"/>
</table>
</file>

<file path=xl/tables/table12.xml><?xml version="1.0" encoding="utf-8"?>
<table xmlns="http://schemas.openxmlformats.org/spreadsheetml/2006/main" headerRowCount="0" ref="A61:G84" displayName="Table_8" name="Table_8" id="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I-style 4" showColumnStripes="0" showFirstColumn="1" showLastColumn="1" showRowStripes="1"/>
</table>
</file>

<file path=xl/tables/table13.xml><?xml version="1.0" encoding="utf-8"?>
<table xmlns="http://schemas.openxmlformats.org/spreadsheetml/2006/main" headerRowCount="0" ref="A4:G17" displayName="Table_13" name="Table_13" id="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II-style" showColumnStripes="0" showFirstColumn="1" showLastColumn="1" showRowStripes="1"/>
</table>
</file>

<file path=xl/tables/table14.xml><?xml version="1.0" encoding="utf-8"?>
<table xmlns="http://schemas.openxmlformats.org/spreadsheetml/2006/main" headerRowCount="0" ref="A23:G40" displayName="Table_14" name="Table_14" id="1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II-style 2" showColumnStripes="0" showFirstColumn="1" showLastColumn="1" showRowStripes="1"/>
</table>
</file>

<file path=xl/tables/table15.xml><?xml version="1.0" encoding="utf-8"?>
<table xmlns="http://schemas.openxmlformats.org/spreadsheetml/2006/main" headerRowCount="0" ref="A46:G68" displayName="Table_15" name="Table_15" id="1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II-style 3" showColumnStripes="0" showFirstColumn="1" showLastColumn="1" showRowStripes="1"/>
</table>
</file>

<file path=xl/tables/table16.xml><?xml version="1.0" encoding="utf-8"?>
<table xmlns="http://schemas.openxmlformats.org/spreadsheetml/2006/main" headerRowCount="0" ref="A74:G101" displayName="Table_16" name="Table_16" id="1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II-style 4" showColumnStripes="0" showFirstColumn="1" showLastColumn="1" showRowStripes="1"/>
</table>
</file>

<file path=xl/tables/table17.xml><?xml version="1.0" encoding="utf-8"?>
<table xmlns="http://schemas.openxmlformats.org/spreadsheetml/2006/main" headerRowCount="0" ref="A4:G17" displayName="Table_17" name="Table_17" id="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II-style" showColumnStripes="0" showFirstColumn="1" showLastColumn="1" showRowStripes="1"/>
</table>
</file>

<file path=xl/tables/table18.xml><?xml version="1.0" encoding="utf-8"?>
<table xmlns="http://schemas.openxmlformats.org/spreadsheetml/2006/main" headerRowCount="0" ref="A23:G40" displayName="Table_18" name="Table_18" id="1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II-style 2" showColumnStripes="0" showFirstColumn="1" showLastColumn="1" showRowStripes="1"/>
</table>
</file>

<file path=xl/tables/table19.xml><?xml version="1.0" encoding="utf-8"?>
<table xmlns="http://schemas.openxmlformats.org/spreadsheetml/2006/main" headerRowCount="0" ref="A46:G68" displayName="Table_19" name="Table_19" id="1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II-style 3" showColumnStripes="0" showFirstColumn="1" showLastColumn="1" showRowStripes="1"/>
</table>
</file>

<file path=xl/tables/table20.xml><?xml version="1.0" encoding="utf-8"?>
<table xmlns="http://schemas.openxmlformats.org/spreadsheetml/2006/main" headerRowCount="0" ref="A74:G101" displayName="Table_20" name="Table_20" id="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II-style 4" showColumnStripes="0" showFirstColumn="1" showLastColumn="1" showRowStripes="1"/>
</table>
</file>

<file path=xl/tables/table21.xml><?xml version="1.0" encoding="utf-8"?>
<table xmlns="http://schemas.openxmlformats.org/spreadsheetml/2006/main" headerRowCount="0" ref="A4:G17" displayName="Table_21" name="Table_21" id="2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II-style" showColumnStripes="0" showFirstColumn="1" showLastColumn="1" showRowStripes="1"/>
</table>
</file>

<file path=xl/tables/table22.xml><?xml version="1.0" encoding="utf-8"?>
<table xmlns="http://schemas.openxmlformats.org/spreadsheetml/2006/main" headerRowCount="0" ref="A23:G40" displayName="Table_22" name="Table_22" id="2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II-style 2" showColumnStripes="0" showFirstColumn="1" showLastColumn="1" showRowStripes="1"/>
</table>
</file>

<file path=xl/tables/table23.xml><?xml version="1.0" encoding="utf-8"?>
<table xmlns="http://schemas.openxmlformats.org/spreadsheetml/2006/main" headerRowCount="0" ref="A46:G68" displayName="Table_23" name="Table_23" id="2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II-style 3" showColumnStripes="0" showFirstColumn="1" showLastColumn="1" showRowStripes="1"/>
</table>
</file>

<file path=xl/tables/table24.xml><?xml version="1.0" encoding="utf-8"?>
<table xmlns="http://schemas.openxmlformats.org/spreadsheetml/2006/main" headerRowCount="0" ref="A74:G101" displayName="Table_24" name="Table_24" id="2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II-style 4" showColumnStripes="0" showFirstColumn="1" showLastColumn="1" showRowStripes="1"/>
</table>
</file>

<file path=xl/tables/table25.xml><?xml version="1.0" encoding="utf-8"?>
<table xmlns="http://schemas.openxmlformats.org/spreadsheetml/2006/main" headerRowCount="0" ref="A4:G20" displayName="Table_25" name="Table_25" id="2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III-style" showColumnStripes="0" showFirstColumn="1" showLastColumn="1" showRowStripes="1"/>
</table>
</file>

<file path=xl/tables/table26.xml><?xml version="1.0" encoding="utf-8"?>
<table xmlns="http://schemas.openxmlformats.org/spreadsheetml/2006/main" headerRowCount="0" ref="A26:G49" displayName="Table_26" name="Table_26" id="2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III-style 2" showColumnStripes="0" showFirstColumn="1" showLastColumn="1" showRowStripes="1"/>
</table>
</file>

<file path=xl/tables/table27.xml><?xml version="1.0" encoding="utf-8"?>
<table xmlns="http://schemas.openxmlformats.org/spreadsheetml/2006/main" headerRowCount="0" ref="A55:G83" displayName="Table_27" name="Table_27" id="2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III-style 3" showColumnStripes="0" showFirstColumn="1" showLastColumn="1" showRowStripes="1"/>
</table>
</file>

<file path=xl/tables/table28.xml><?xml version="1.0" encoding="utf-8"?>
<table xmlns="http://schemas.openxmlformats.org/spreadsheetml/2006/main" headerRowCount="0" ref="A89:G122" displayName="Table_28" name="Table_28" id="2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III-style 4" showColumnStripes="0" showFirstColumn="1" showLastColumn="1" showRowStripes="1"/>
</table>
</file>

<file path=xl/tables/table29.xml><?xml version="1.0" encoding="utf-8"?>
<table xmlns="http://schemas.openxmlformats.org/spreadsheetml/2006/main" headerRowCount="0" ref="A4:G20" displayName="Table_29" name="Table_29" id="2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III-style" showColumnStripes="0" showFirstColumn="1" showLastColumn="1" showRowStripes="1"/>
</table>
</file>

<file path=xl/tables/table30.xml><?xml version="1.0" encoding="utf-8"?>
<table xmlns="http://schemas.openxmlformats.org/spreadsheetml/2006/main" headerRowCount="0" ref="A26:G49" displayName="Table_30" name="Table_30" id="3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III-style 2" showColumnStripes="0" showFirstColumn="1" showLastColumn="1" showRowStripes="1"/>
</table>
</file>

<file path=xl/tables/table31.xml><?xml version="1.0" encoding="utf-8"?>
<table xmlns="http://schemas.openxmlformats.org/spreadsheetml/2006/main" headerRowCount="0" ref="A55:G83" displayName="Table_31" name="Table_31" id="3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III-style 3" showColumnStripes="0" showFirstColumn="1" showLastColumn="1" showRowStripes="1"/>
</table>
</file>

<file path=xl/tables/table32.xml><?xml version="1.0" encoding="utf-8"?>
<table xmlns="http://schemas.openxmlformats.org/spreadsheetml/2006/main" headerRowCount="0" ref="A89:G122" displayName="Table_32" name="Table_32" id="3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III-style 4" showColumnStripes="0" showFirstColumn="1" showLastColumn="1" showRowStripes="1"/>
</table>
</file>

<file path=xl/tables/table33.xml><?xml version="1.0" encoding="utf-8"?>
<table xmlns="http://schemas.openxmlformats.org/spreadsheetml/2006/main" headerRowCount="0" ref="A4:G20" displayName="Table_33" name="Table_33" id="3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III-style" showColumnStripes="0" showFirstColumn="1" showLastColumn="1" showRowStripes="1"/>
</table>
</file>

<file path=xl/tables/table34.xml><?xml version="1.0" encoding="utf-8"?>
<table xmlns="http://schemas.openxmlformats.org/spreadsheetml/2006/main" headerRowCount="0" ref="A26:G49" displayName="Table_34" name="Table_34" id="3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III-style 2" showColumnStripes="0" showFirstColumn="1" showLastColumn="1" showRowStripes="1"/>
</table>
</file>

<file path=xl/tables/table35.xml><?xml version="1.0" encoding="utf-8"?>
<table xmlns="http://schemas.openxmlformats.org/spreadsheetml/2006/main" headerRowCount="0" ref="A55:G83" displayName="Table_35" name="Table_35" id="3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III-style 3" showColumnStripes="0" showFirstColumn="1" showLastColumn="1" showRowStripes="1"/>
</table>
</file>

<file path=xl/tables/table36.xml><?xml version="1.0" encoding="utf-8"?>
<table xmlns="http://schemas.openxmlformats.org/spreadsheetml/2006/main" headerRowCount="0" ref="A89:G122" displayName="Table_36" name="Table_36" id="3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III-style 4" showColumnStripes="0" showFirstColumn="1" showLastColumn="1" showRowStripes="1"/>
</table>
</file>

<file path=xl/tables/table37.xml><?xml version="1.0" encoding="utf-8"?>
<table xmlns="http://schemas.openxmlformats.org/spreadsheetml/2006/main" headerRowCount="0" ref="A4:G27" displayName="Table_37" name="Table_37" id="3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IV-style" showColumnStripes="0" showFirstColumn="1" showLastColumn="1" showRowStripes="1"/>
</table>
</file>

<file path=xl/tables/table38.xml><?xml version="1.0" encoding="utf-8"?>
<table xmlns="http://schemas.openxmlformats.org/spreadsheetml/2006/main" headerRowCount="0" ref="A33:G61" displayName="Table_38" name="Table_38" id="3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IV-style 2" showColumnStripes="0" showFirstColumn="1" showLastColumn="1" showRowStripes="1"/>
</table>
</file>

<file path=xl/tables/table39.xml><?xml version="1.0" encoding="utf-8"?>
<table xmlns="http://schemas.openxmlformats.org/spreadsheetml/2006/main" headerRowCount="0" ref="A67:G99" displayName="Table_39" name="Table_39" id="3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IV-style 3" showColumnStripes="0" showFirstColumn="1" showLastColumn="1" showRowStripes="1"/>
</table>
</file>

<file path=xl/tables/table40.xml><?xml version="1.0" encoding="utf-8"?>
<table xmlns="http://schemas.openxmlformats.org/spreadsheetml/2006/main" headerRowCount="0" ref="A105:G138" displayName="Table_40" name="Table_40" id="4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IV-style 4" showColumnStripes="0" showFirstColumn="1" showLastColumn="1" showRowStripes="1"/>
</table>
</file>

<file path=xl/tables/table41.xml><?xml version="1.0" encoding="utf-8"?>
<table xmlns="http://schemas.openxmlformats.org/spreadsheetml/2006/main" headerRowCount="0" ref="A4:G27" displayName="Table_41" name="Table_41" id="4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IV-style" showColumnStripes="0" showFirstColumn="1" showLastColumn="1" showRowStripes="1"/>
</table>
</file>

<file path=xl/tables/table42.xml><?xml version="1.0" encoding="utf-8"?>
<table xmlns="http://schemas.openxmlformats.org/spreadsheetml/2006/main" headerRowCount="0" ref="A33:G61" displayName="Table_42" name="Table_42" id="4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IV-style 2" showColumnStripes="0" showFirstColumn="1" showLastColumn="1" showRowStripes="1"/>
</table>
</file>

<file path=xl/tables/table43.xml><?xml version="1.0" encoding="utf-8"?>
<table xmlns="http://schemas.openxmlformats.org/spreadsheetml/2006/main" headerRowCount="0" ref="A67:G99" displayName="Table_43" name="Table_43" id="4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IV-style 3" showColumnStripes="0" showFirstColumn="1" showLastColumn="1" showRowStripes="1"/>
</table>
</file>

<file path=xl/tables/table44.xml><?xml version="1.0" encoding="utf-8"?>
<table xmlns="http://schemas.openxmlformats.org/spreadsheetml/2006/main" headerRowCount="0" ref="A105:G138" displayName="Table_44" name="Table_44" id="4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IV-style 4" showColumnStripes="0" showFirstColumn="1" showLastColumn="1" showRowStripes="1"/>
</table>
</file>

<file path=xl/tables/table45.xml><?xml version="1.0" encoding="utf-8"?>
<table xmlns="http://schemas.openxmlformats.org/spreadsheetml/2006/main" headerRowCount="0" ref="A4:G27" displayName="Table_45" name="Table_45" id="4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IV-style" showColumnStripes="0" showFirstColumn="1" showLastColumn="1" showRowStripes="1"/>
</table>
</file>

<file path=xl/tables/table46.xml><?xml version="1.0" encoding="utf-8"?>
<table xmlns="http://schemas.openxmlformats.org/spreadsheetml/2006/main" headerRowCount="0" ref="A33:G61" displayName="Table_46" name="Table_46" id="4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IV-style 2" showColumnStripes="0" showFirstColumn="1" showLastColumn="1" showRowStripes="1"/>
</table>
</file>

<file path=xl/tables/table47.xml><?xml version="1.0" encoding="utf-8"?>
<table xmlns="http://schemas.openxmlformats.org/spreadsheetml/2006/main" headerRowCount="0" ref="A67:G99" displayName="Table_47" name="Table_47" id="4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IV-style 3" showColumnStripes="0" showFirstColumn="1" showLastColumn="1" showRowStripes="1"/>
</table>
</file>

<file path=xl/tables/table48.xml><?xml version="1.0" encoding="utf-8"?>
<table xmlns="http://schemas.openxmlformats.org/spreadsheetml/2006/main" headerRowCount="0" ref="A105:G138" displayName="Table_48" name="Table_48" id="4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IV-style 4" showColumnStripes="0" showFirstColumn="1" showLastColumn="1" showRowStripes="1"/>
</table>
</file>

<file path=xl/tables/table49.xml><?xml version="1.0" encoding="utf-8"?>
<table xmlns="http://schemas.openxmlformats.org/spreadsheetml/2006/main" headerRowCount="0" ref="A4:G17" displayName="Table_49" name="Table_49" id="4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V-style" showColumnStripes="0" showFirstColumn="1" showLastColumn="1" showRowStripes="1"/>
</table>
</file>

<file path=xl/tables/table50.xml><?xml version="1.0" encoding="utf-8"?>
<table xmlns="http://schemas.openxmlformats.org/spreadsheetml/2006/main" headerRowCount="0" ref="A23:G46" displayName="Table_50" name="Table_50" id="5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V-style 2" showColumnStripes="0" showFirstColumn="1" showLastColumn="1" showRowStripes="1"/>
</table>
</file>

<file path=xl/tables/table51.xml><?xml version="1.0" encoding="utf-8"?>
<table xmlns="http://schemas.openxmlformats.org/spreadsheetml/2006/main" headerRowCount="0" ref="A52:G80" displayName="Table_51" name="Table_51" id="5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V-style 3" showColumnStripes="0" showFirstColumn="1" showLastColumn="1" showRowStripes="1"/>
</table>
</file>

<file path=xl/tables/table52.xml><?xml version="1.0" encoding="utf-8"?>
<table xmlns="http://schemas.openxmlformats.org/spreadsheetml/2006/main" headerRowCount="0" ref="A86:G118" displayName="Table_52" name="Table_52" id="5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V-style 4" showColumnStripes="0" showFirstColumn="1" showLastColumn="1" showRowStripes="1"/>
</table>
</file>

<file path=xl/tables/table53.xml><?xml version="1.0" encoding="utf-8"?>
<table xmlns="http://schemas.openxmlformats.org/spreadsheetml/2006/main" headerRowCount="0" ref="A4:G17" displayName="Table_53" name="Table_53" id="5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V-style" showColumnStripes="0" showFirstColumn="1" showLastColumn="1" showRowStripes="1"/>
</table>
</file>

<file path=xl/tables/table54.xml><?xml version="1.0" encoding="utf-8"?>
<table xmlns="http://schemas.openxmlformats.org/spreadsheetml/2006/main" headerRowCount="0" ref="A23:G46" displayName="Table_54" name="Table_54" id="5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V-style 2" showColumnStripes="0" showFirstColumn="1" showLastColumn="1" showRowStripes="1"/>
</table>
</file>

<file path=xl/tables/table55.xml><?xml version="1.0" encoding="utf-8"?>
<table xmlns="http://schemas.openxmlformats.org/spreadsheetml/2006/main" headerRowCount="0" ref="A52:G80" displayName="Table_55" name="Table_55" id="5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V-style 3" showColumnStripes="0" showFirstColumn="1" showLastColumn="1" showRowStripes="1"/>
</table>
</file>

<file path=xl/tables/table56.xml><?xml version="1.0" encoding="utf-8"?>
<table xmlns="http://schemas.openxmlformats.org/spreadsheetml/2006/main" headerRowCount="0" ref="A86:G118" displayName="Table_56" name="Table_56" id="5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V-style 4" showColumnStripes="0" showFirstColumn="1" showLastColumn="1" showRowStripes="1"/>
</table>
</file>

<file path=xl/tables/table57.xml><?xml version="1.0" encoding="utf-8"?>
<table xmlns="http://schemas.openxmlformats.org/spreadsheetml/2006/main" headerRowCount="0" ref="A4:G17" displayName="Table_57" name="Table_57" id="5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V-style" showColumnStripes="0" showFirstColumn="1" showLastColumn="1" showRowStripes="1"/>
</table>
</file>

<file path=xl/tables/table58.xml><?xml version="1.0" encoding="utf-8"?>
<table xmlns="http://schemas.openxmlformats.org/spreadsheetml/2006/main" headerRowCount="0" ref="A23:G46" displayName="Table_58" name="Table_58" id="5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V-style 2" showColumnStripes="0" showFirstColumn="1" showLastColumn="1" showRowStripes="1"/>
</table>
</file>

<file path=xl/tables/table59.xml><?xml version="1.0" encoding="utf-8"?>
<table xmlns="http://schemas.openxmlformats.org/spreadsheetml/2006/main" headerRowCount="0" ref="A52:G80" displayName="Table_59" name="Table_59" id="5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V-style 3" showColumnStripes="0" showFirstColumn="1" showLastColumn="1" showRowStripes="1"/>
</table>
</file>

<file path=xl/tables/table60.xml><?xml version="1.0" encoding="utf-8"?>
<table xmlns="http://schemas.openxmlformats.org/spreadsheetml/2006/main" headerRowCount="0" ref="A86:G118" displayName="Table_60" name="Table_60" id="6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V-style 4" showColumnStripes="0" showFirstColumn="1" showLastColumn="1" showRowStripes="1"/>
</table>
</file>

<file path=xl/tables/table61.xml><?xml version="1.0" encoding="utf-8"?>
<table xmlns="http://schemas.openxmlformats.org/spreadsheetml/2006/main" headerRowCount="0" ref="A4:G20" displayName="Table_61" name="Table_61" id="6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VI-style" showColumnStripes="0" showFirstColumn="1" showLastColumn="1" showRowStripes="1"/>
</table>
</file>

<file path=xl/tables/table62.xml><?xml version="1.0" encoding="utf-8"?>
<table xmlns="http://schemas.openxmlformats.org/spreadsheetml/2006/main" headerRowCount="0" ref="A26:G53" displayName="Table_62" name="Table_62" id="6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VI-style 2" showColumnStripes="0" showFirstColumn="1" showLastColumn="1" showRowStripes="1"/>
</table>
</file>

<file path=xl/tables/table63.xml><?xml version="1.0" encoding="utf-8"?>
<table xmlns="http://schemas.openxmlformats.org/spreadsheetml/2006/main" headerRowCount="0" ref="A59:G92" displayName="Table_63" name="Table_63" id="6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VI-style 3" showColumnStripes="0" showFirstColumn="1" showLastColumn="1" showRowStripes="1"/>
</table>
</file>

<file path=xl/tables/table64.xml><?xml version="1.0" encoding="utf-8"?>
<table xmlns="http://schemas.openxmlformats.org/spreadsheetml/2006/main" headerRowCount="0" ref="A98:G131" displayName="Table_64" name="Table_64" id="6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VI-style 4" showColumnStripes="0" showFirstColumn="1" showLastColumn="1" showRowStripes="1"/>
</table>
</file>

<file path=xl/tables/table65.xml><?xml version="1.0" encoding="utf-8"?>
<table xmlns="http://schemas.openxmlformats.org/spreadsheetml/2006/main" headerRowCount="0" ref="A4:G20" displayName="Table_65" name="Table_65" id="6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VI-style" showColumnStripes="0" showFirstColumn="1" showLastColumn="1" showRowStripes="1"/>
</table>
</file>

<file path=xl/tables/table66.xml><?xml version="1.0" encoding="utf-8"?>
<table xmlns="http://schemas.openxmlformats.org/spreadsheetml/2006/main" headerRowCount="0" ref="A26:G53" displayName="Table_66" name="Table_66" id="6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VI-style 2" showColumnStripes="0" showFirstColumn="1" showLastColumn="1" showRowStripes="1"/>
</table>
</file>

<file path=xl/tables/table67.xml><?xml version="1.0" encoding="utf-8"?>
<table xmlns="http://schemas.openxmlformats.org/spreadsheetml/2006/main" headerRowCount="0" ref="A59:G92" displayName="Table_67" name="Table_67" id="6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VI-style 3" showColumnStripes="0" showFirstColumn="1" showLastColumn="1" showRowStripes="1"/>
</table>
</file>

<file path=xl/tables/table68.xml><?xml version="1.0" encoding="utf-8"?>
<table xmlns="http://schemas.openxmlformats.org/spreadsheetml/2006/main" headerRowCount="0" ref="A98:G131" displayName="Table_68" name="Table_68" id="6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VI-style 4" showColumnStripes="0" showFirstColumn="1" showLastColumn="1" showRowStripes="1"/>
</table>
</file>

<file path=xl/tables/table69.xml><?xml version="1.0" encoding="utf-8"?>
<table xmlns="http://schemas.openxmlformats.org/spreadsheetml/2006/main" headerRowCount="0" ref="A4:G20" displayName="Table_69" name="Table_69" id="6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VI-style" showColumnStripes="0" showFirstColumn="1" showLastColumn="1" showRowStripes="1"/>
</table>
</file>

<file path=xl/tables/table70.xml><?xml version="1.0" encoding="utf-8"?>
<table xmlns="http://schemas.openxmlformats.org/spreadsheetml/2006/main" headerRowCount="0" ref="A26:G53" displayName="Table_70" name="Table_70" id="7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VI-style 2" showColumnStripes="0" showFirstColumn="1" showLastColumn="1" showRowStripes="1"/>
</table>
</file>

<file path=xl/tables/table71.xml><?xml version="1.0" encoding="utf-8"?>
<table xmlns="http://schemas.openxmlformats.org/spreadsheetml/2006/main" headerRowCount="0" ref="A59:G92" displayName="Table_71" name="Table_71" id="7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VI-style 3" showColumnStripes="0" showFirstColumn="1" showLastColumn="1" showRowStripes="1"/>
</table>
</file>

<file path=xl/tables/table72.xml><?xml version="1.0" encoding="utf-8"?>
<table xmlns="http://schemas.openxmlformats.org/spreadsheetml/2006/main" headerRowCount="0" ref="A98:G131" displayName="Table_72" name="Table_72" id="7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VI-style 4" showColumnStripes="0" showFirstColumn="1" showLastColumn="1" showRowStripes="1"/>
</table>
</file>

<file path=xl/tables/table73.xml><?xml version="1.0" encoding="utf-8"?>
<table xmlns="http://schemas.openxmlformats.org/spreadsheetml/2006/main" headerRowCount="0" ref="A4:G14" displayName="Table_73" name="Table_73" id="7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VII-style" showColumnStripes="0" showFirstColumn="1" showLastColumn="1" showRowStripes="1"/>
</table>
</file>

<file path=xl/tables/table74.xml><?xml version="1.0" encoding="utf-8"?>
<table xmlns="http://schemas.openxmlformats.org/spreadsheetml/2006/main" headerRowCount="0" ref="A20:G33" displayName="Table_74" name="Table_74" id="7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VII-style 2" showColumnStripes="0" showFirstColumn="1" showLastColumn="1" showRowStripes="1"/>
</table>
</file>

<file path=xl/tables/table75.xml><?xml version="1.0" encoding="utf-8"?>
<table xmlns="http://schemas.openxmlformats.org/spreadsheetml/2006/main" headerRowCount="0" ref="A39:G55" displayName="Table_75" name="Table_75" id="7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VII-style 3" showColumnStripes="0" showFirstColumn="1" showLastColumn="1" showRowStripes="1"/>
</table>
</file>

<file path=xl/tables/table76.xml><?xml version="1.0" encoding="utf-8"?>
<table xmlns="http://schemas.openxmlformats.org/spreadsheetml/2006/main" headerRowCount="0" ref="A61:G84" displayName="Table_76" name="Table_76" id="7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VII-style 4" showColumnStripes="0" showFirstColumn="1" showLastColumn="1" showRowStripes="1"/>
</table>
</file>

<file path=xl/tables/table77.xml><?xml version="1.0" encoding="utf-8"?>
<table xmlns="http://schemas.openxmlformats.org/spreadsheetml/2006/main" headerRowCount="0" ref="A4:G14" displayName="Table_77" name="Table_77" id="7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VII-style" showColumnStripes="0" showFirstColumn="1" showLastColumn="1" showRowStripes="1"/>
</table>
</file>

<file path=xl/tables/table78.xml><?xml version="1.0" encoding="utf-8"?>
<table xmlns="http://schemas.openxmlformats.org/spreadsheetml/2006/main" headerRowCount="0" ref="A20:G33" displayName="Table_78" name="Table_78" id="7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VII-style 2" showColumnStripes="0" showFirstColumn="1" showLastColumn="1" showRowStripes="1"/>
</table>
</file>

<file path=xl/tables/table79.xml><?xml version="1.0" encoding="utf-8"?>
<table xmlns="http://schemas.openxmlformats.org/spreadsheetml/2006/main" headerRowCount="0" ref="A39:G55" displayName="Table_79" name="Table_79" id="7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VII-style 3" showColumnStripes="0" showFirstColumn="1" showLastColumn="1" showRowStripes="1"/>
</table>
</file>

<file path=xl/tables/table80.xml><?xml version="1.0" encoding="utf-8"?>
<table xmlns="http://schemas.openxmlformats.org/spreadsheetml/2006/main" headerRowCount="0" ref="A61:G84" displayName="Table_80" name="Table_80" id="8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VII-style 4" showColumnStripes="0" showFirstColumn="1" showLastColumn="1" showRowStripes="1"/>
</table>
</file>

<file path=xl/tables/table81.xml><?xml version="1.0" encoding="utf-8"?>
<table xmlns="http://schemas.openxmlformats.org/spreadsheetml/2006/main" headerRowCount="0" ref="A4:G14" displayName="Table_81" name="Table_81" id="8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VII-style" showColumnStripes="0" showFirstColumn="1" showLastColumn="1" showRowStripes="1"/>
</table>
</file>

<file path=xl/tables/table82.xml><?xml version="1.0" encoding="utf-8"?>
<table xmlns="http://schemas.openxmlformats.org/spreadsheetml/2006/main" headerRowCount="0" ref="A20:G33" displayName="Table_82" name="Table_82" id="8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VII-style 2" showColumnStripes="0" showFirstColumn="1" showLastColumn="1" showRowStripes="1"/>
</table>
</file>

<file path=xl/tables/table83.xml><?xml version="1.0" encoding="utf-8"?>
<table xmlns="http://schemas.openxmlformats.org/spreadsheetml/2006/main" headerRowCount="0" ref="A39:G55" displayName="Table_83" name="Table_83" id="8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VII-style 3" showColumnStripes="0" showFirstColumn="1" showLastColumn="1" showRowStripes="1"/>
</table>
</file>

<file path=xl/tables/table84.xml><?xml version="1.0" encoding="utf-8"?>
<table xmlns="http://schemas.openxmlformats.org/spreadsheetml/2006/main" headerRowCount="0" ref="A61:G84" displayName="Table_84" name="Table_84" id="8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VII-style 4" showColumnStripes="0" showFirstColumn="1" showLastColumn="1" showRowStripes="1"/>
</table>
</file>

<file path=xl/tables/table85.xml><?xml version="1.0" encoding="utf-8"?>
<table xmlns="http://schemas.openxmlformats.org/spreadsheetml/2006/main" headerRowCount="0" ref="A4:G17" displayName="Table_85" name="Table_85" id="8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VIII-style" showColumnStripes="0" showFirstColumn="1" showLastColumn="1" showRowStripes="1"/>
</table>
</file>

<file path=xl/tables/table86.xml><?xml version="1.0" encoding="utf-8"?>
<table xmlns="http://schemas.openxmlformats.org/spreadsheetml/2006/main" headerRowCount="0" ref="A23:G40" displayName="Table_86" name="Table_86" id="8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VIII-style 2" showColumnStripes="0" showFirstColumn="1" showLastColumn="1" showRowStripes="1"/>
</table>
</file>

<file path=xl/tables/table87.xml><?xml version="1.0" encoding="utf-8"?>
<table xmlns="http://schemas.openxmlformats.org/spreadsheetml/2006/main" headerRowCount="0" ref="A46:G68" displayName="Table_87" name="Table_87" id="8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VIII-style 3" showColumnStripes="0" showFirstColumn="1" showLastColumn="1" showRowStripes="1"/>
</table>
</file>

<file path=xl/tables/table88.xml><?xml version="1.0" encoding="utf-8"?>
<table xmlns="http://schemas.openxmlformats.org/spreadsheetml/2006/main" headerRowCount="0" ref="A74:G101" displayName="Table_88" name="Table_88" id="8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VIII-style 4" showColumnStripes="0" showFirstColumn="1" showLastColumn="1" showRowStripes="1"/>
</table>
</file>

<file path=xl/tables/table89.xml><?xml version="1.0" encoding="utf-8"?>
<table xmlns="http://schemas.openxmlformats.org/spreadsheetml/2006/main" headerRowCount="0" ref="A4:G17" displayName="Table_89" name="Table_89" id="8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VIII-style" showColumnStripes="0" showFirstColumn="1" showLastColumn="1" showRowStripes="1"/>
</table>
</file>

<file path=xl/tables/table90.xml><?xml version="1.0" encoding="utf-8"?>
<table xmlns="http://schemas.openxmlformats.org/spreadsheetml/2006/main" headerRowCount="0" ref="A23:G40" displayName="Table_90" name="Table_90" id="9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VIII-style 2" showColumnStripes="0" showFirstColumn="1" showLastColumn="1" showRowStripes="1"/>
</table>
</file>

<file path=xl/tables/table91.xml><?xml version="1.0" encoding="utf-8"?>
<table xmlns="http://schemas.openxmlformats.org/spreadsheetml/2006/main" headerRowCount="0" ref="A46:G68" displayName="Table_91" name="Table_91" id="9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VIII-style 3" showColumnStripes="0" showFirstColumn="1" showLastColumn="1" showRowStripes="1"/>
</table>
</file>

<file path=xl/tables/table92.xml><?xml version="1.0" encoding="utf-8"?>
<table xmlns="http://schemas.openxmlformats.org/spreadsheetml/2006/main" headerRowCount="0" ref="A74:G101" displayName="Table_92" name="Table_92" id="9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VIII-style 4" showColumnStripes="0" showFirstColumn="1" showLastColumn="1" showRowStripes="1"/>
</table>
</file>

<file path=xl/tables/table93.xml><?xml version="1.0" encoding="utf-8"?>
<table xmlns="http://schemas.openxmlformats.org/spreadsheetml/2006/main" headerRowCount="0" ref="A4:G17" displayName="Table_93" name="Table_93" id="9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VIII-style" showColumnStripes="0" showFirstColumn="1" showLastColumn="1" showRowStripes="1"/>
</table>
</file>

<file path=xl/tables/table94.xml><?xml version="1.0" encoding="utf-8"?>
<table xmlns="http://schemas.openxmlformats.org/spreadsheetml/2006/main" headerRowCount="0" ref="A23:G40" displayName="Table_94" name="Table_94" id="9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VIII-style 2" showColumnStripes="0" showFirstColumn="1" showLastColumn="1" showRowStripes="1"/>
</table>
</file>

<file path=xl/tables/table95.xml><?xml version="1.0" encoding="utf-8"?>
<table xmlns="http://schemas.openxmlformats.org/spreadsheetml/2006/main" headerRowCount="0" ref="A46:G68" displayName="Table_95" name="Table_95" id="9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VIII-style 3" showColumnStripes="0" showFirstColumn="1" showLastColumn="1" showRowStripes="1"/>
</table>
</file>

<file path=xl/tables/table96.xml><?xml version="1.0" encoding="utf-8"?>
<table xmlns="http://schemas.openxmlformats.org/spreadsheetml/2006/main" headerRowCount="0" ref="A74:G101" displayName="Table_96" name="Table_96" id="9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VIII-style 4" showColumnStripes="0" showFirstColumn="1" showLastColumn="1" showRowStripes="1"/>
</table>
</file>

<file path=xl/tables/table97.xml><?xml version="1.0" encoding="utf-8"?>
<table xmlns="http://schemas.openxmlformats.org/spreadsheetml/2006/main" headerRowCount="0" ref="A4:G17" displayName="Table_97" name="Table_97" id="9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IX-style" showColumnStripes="0" showFirstColumn="1" showLastColumn="1" showRowStripes="1"/>
</table>
</file>

<file path=xl/tables/table98.xml><?xml version="1.0" encoding="utf-8"?>
<table xmlns="http://schemas.openxmlformats.org/spreadsheetml/2006/main" headerRowCount="0" ref="A23:G40" displayName="Table_98" name="Table_98" id="9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IX-style 2" showColumnStripes="0" showFirstColumn="1" showLastColumn="1" showRowStripes="1"/>
</table>
</file>

<file path=xl/tables/table99.xml><?xml version="1.0" encoding="utf-8"?>
<table xmlns="http://schemas.openxmlformats.org/spreadsheetml/2006/main" headerRowCount="0" ref="A46:G70" displayName="Table_99" name="Table_99" id="9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IX-style 3" showColumnStripes="0" showFirstColumn="1" showLastColumn="1" showRowStripes="1"/>
</table>
</file>

<file path=xl/tables/table100.xml><?xml version="1.0" encoding="utf-8"?>
<table xmlns="http://schemas.openxmlformats.org/spreadsheetml/2006/main" headerRowCount="0" ref="A76:G97" displayName="Table_100" name="Table_100" id="10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IX-style 4" showColumnStripes="0" showFirstColumn="1" showLastColumn="1" showRowStripes="1"/>
</table>
</file>

<file path=xl/tables/table101.xml><?xml version="1.0" encoding="utf-8"?>
<table xmlns="http://schemas.openxmlformats.org/spreadsheetml/2006/main" headerRowCount="0" ref="A4:G17" displayName="Table_101" name="Table_101" id="10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IX-style" showColumnStripes="0" showFirstColumn="1" showLastColumn="1" showRowStripes="1"/>
</table>
</file>

<file path=xl/tables/table102.xml><?xml version="1.0" encoding="utf-8"?>
<table xmlns="http://schemas.openxmlformats.org/spreadsheetml/2006/main" headerRowCount="0" ref="A23:G40" displayName="Table_102" name="Table_102" id="10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IX-style 2" showColumnStripes="0" showFirstColumn="1" showLastColumn="1" showRowStripes="1"/>
</table>
</file>

<file path=xl/tables/table103.xml><?xml version="1.0" encoding="utf-8"?>
<table xmlns="http://schemas.openxmlformats.org/spreadsheetml/2006/main" headerRowCount="0" ref="A46:G70" displayName="Table_103" name="Table_103" id="10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IX-style 3" showColumnStripes="0" showFirstColumn="1" showLastColumn="1" showRowStripes="1"/>
</table>
</file>

<file path=xl/tables/table104.xml><?xml version="1.0" encoding="utf-8"?>
<table xmlns="http://schemas.openxmlformats.org/spreadsheetml/2006/main" headerRowCount="0" ref="A76:G97" displayName="Table_104" name="Table_104" id="10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IX-style 4" showColumnStripes="0" showFirstColumn="1" showLastColumn="1" showRowStripes="1"/>
</table>
</file>

<file path=xl/tables/table105.xml><?xml version="1.0" encoding="utf-8"?>
<table xmlns="http://schemas.openxmlformats.org/spreadsheetml/2006/main" headerRowCount="0" ref="A4:G17" displayName="Table_105" name="Table_105" id="10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IX-style" showColumnStripes="0" showFirstColumn="1" showLastColumn="1" showRowStripes="1"/>
</table>
</file>

<file path=xl/tables/table106.xml><?xml version="1.0" encoding="utf-8"?>
<table xmlns="http://schemas.openxmlformats.org/spreadsheetml/2006/main" headerRowCount="0" ref="A23:G40" displayName="Table_106" name="Table_106" id="10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IX-style 2" showColumnStripes="0" showFirstColumn="1" showLastColumn="1" showRowStripes="1"/>
</table>
</file>

<file path=xl/tables/table107.xml><?xml version="1.0" encoding="utf-8"?>
<table xmlns="http://schemas.openxmlformats.org/spreadsheetml/2006/main" headerRowCount="0" ref="A46:G70" displayName="Table_107" name="Table_107" id="10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IX-style 3" showColumnStripes="0" showFirstColumn="1" showLastColumn="1" showRowStripes="1"/>
</table>
</file>

<file path=xl/tables/table108.xml><?xml version="1.0" encoding="utf-8"?>
<table xmlns="http://schemas.openxmlformats.org/spreadsheetml/2006/main" headerRowCount="0" ref="A76:G97" displayName="Table_108" name="Table_108" id="10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IX-style 4" showColumnStripes="0" showFirstColumn="1" showLastColumn="1" showRowStripes="1"/>
</table>
</file>

<file path=xl/tables/table109.xml><?xml version="1.0" encoding="utf-8"?>
<table xmlns="http://schemas.openxmlformats.org/spreadsheetml/2006/main" headerRowCount="0" ref="A4:G19" displayName="Table_110" name="Table_110" id="11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X-style" showColumnStripes="0" showFirstColumn="1" showLastColumn="1" showRowStripes="1"/>
</table>
</file>

<file path=xl/tables/table110.xml><?xml version="1.0" encoding="utf-8"?>
<table xmlns="http://schemas.openxmlformats.org/spreadsheetml/2006/main" headerRowCount="0" ref="A25:G44" displayName="Table_113" name="Table_113" id="1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X-style 2" showColumnStripes="0" showFirstColumn="1" showLastColumn="1" showRowStripes="1"/>
</table>
</file>

<file path=xl/tables/table111.xml><?xml version="1.0" encoding="utf-8"?>
<table xmlns="http://schemas.openxmlformats.org/spreadsheetml/2006/main" headerRowCount="0" ref="A50:G83" displayName="Table_118" name="Table_118" id="1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X-style 3" showColumnStripes="0" showFirstColumn="1" showLastColumn="1" showRowStripes="1"/>
</table>
</file>

<file path=xl/tables/table112.xml><?xml version="1.0" encoding="utf-8"?>
<table xmlns="http://schemas.openxmlformats.org/spreadsheetml/2006/main" headerRowCount="0" ref="A89:G119" displayName="Table_120" name="Table_120" id="1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otman Training X-style 4" showColumnStripes="0" showFirstColumn="1" showLastColumn="1" showRowStripes="1"/>
</table>
</file>

<file path=xl/tables/table113.xml><?xml version="1.0" encoding="utf-8"?>
<table xmlns="http://schemas.openxmlformats.org/spreadsheetml/2006/main" headerRowCount="0" ref="A4:G19" displayName="Table_109" name="Table_109" id="10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X-style" showColumnStripes="0" showFirstColumn="1" showLastColumn="1" showRowStripes="1"/>
</table>
</file>

<file path=xl/tables/table114.xml><?xml version="1.0" encoding="utf-8"?>
<table xmlns="http://schemas.openxmlformats.org/spreadsheetml/2006/main" headerRowCount="0" ref="A25:G44" displayName="Table_112" name="Table_112" id="1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X-style 2" showColumnStripes="0" showFirstColumn="1" showLastColumn="1" showRowStripes="1"/>
</table>
</file>

<file path=xl/tables/table115.xml><?xml version="1.0" encoding="utf-8"?>
<table xmlns="http://schemas.openxmlformats.org/spreadsheetml/2006/main" headerRowCount="0" ref="A50:G83" displayName="Table_114" name="Table_114" id="11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X-style 3" showColumnStripes="0" showFirstColumn="1" showLastColumn="1" showRowStripes="1"/>
</table>
</file>

<file path=xl/tables/table116.xml><?xml version="1.0" encoding="utf-8"?>
<table xmlns="http://schemas.openxmlformats.org/spreadsheetml/2006/main" headerRowCount="0" ref="A89:G119" displayName="Table_116" name="Table_116" id="11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avalry Training X-style 4" showColumnStripes="0" showFirstColumn="1" showLastColumn="1" showRowStripes="1"/>
</table>
</file>

<file path=xl/tables/table117.xml><?xml version="1.0" encoding="utf-8"?>
<table xmlns="http://schemas.openxmlformats.org/spreadsheetml/2006/main" headerRowCount="0" ref="A4:G19" displayName="Table_111" name="Table_111" id="1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X-style" showColumnStripes="0" showFirstColumn="1" showLastColumn="1" showRowStripes="1"/>
</table>
</file>

<file path=xl/tables/table118.xml><?xml version="1.0" encoding="utf-8"?>
<table xmlns="http://schemas.openxmlformats.org/spreadsheetml/2006/main" headerRowCount="0" ref="A25:G44" displayName="Table_115" name="Table_115" id="11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X-style 2" showColumnStripes="0" showFirstColumn="1" showLastColumn="1" showRowStripes="1"/>
</table>
</file>

<file path=xl/tables/table119.xml><?xml version="1.0" encoding="utf-8"?>
<table xmlns="http://schemas.openxmlformats.org/spreadsheetml/2006/main" headerRowCount="0" ref="A50:G83" displayName="Table_117" name="Table_117" id="11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X-style 3" showColumnStripes="0" showFirstColumn="1" showLastColumn="1" showRowStripes="1"/>
</table>
</file>

<file path=xl/tables/table120.xml><?xml version="1.0" encoding="utf-8"?>
<table xmlns="http://schemas.openxmlformats.org/spreadsheetml/2006/main" headerRowCount="0" ref="A89:G119" displayName="Table_119" name="Table_119" id="11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rcher Training X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youtube.com/@TheRocNoobs" TargetMode="External"/><Relationship Id="rId2" Type="http://schemas.openxmlformats.org/officeDocument/2006/relationships/hyperlink" Target="https://docs.google.com/spreadsheets/d/1b6vZo20rXYCYDENSW0r1YAJ8di9DuHZ5Xfphoala8RU/edit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16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Relationship Id="rId8" Type="http://schemas.openxmlformats.org/officeDocument/2006/relationships/table" Target="../tables/table1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9" Type="http://schemas.openxmlformats.org/officeDocument/2006/relationships/table" Target="../tables/table20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Relationship Id="rId8" Type="http://schemas.openxmlformats.org/officeDocument/2006/relationships/table" Target="../tables/table1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9" Type="http://schemas.openxmlformats.org/officeDocument/2006/relationships/table" Target="../tables/table24.xml"/><Relationship Id="rId6" Type="http://schemas.openxmlformats.org/officeDocument/2006/relationships/table" Target="../tables/table21.xml"/><Relationship Id="rId7" Type="http://schemas.openxmlformats.org/officeDocument/2006/relationships/table" Target="../tables/table22.xml"/><Relationship Id="rId8" Type="http://schemas.openxmlformats.org/officeDocument/2006/relationships/table" Target="../tables/table2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9" Type="http://schemas.openxmlformats.org/officeDocument/2006/relationships/table" Target="../tables/table28.xml"/><Relationship Id="rId6" Type="http://schemas.openxmlformats.org/officeDocument/2006/relationships/table" Target="../tables/table25.xml"/><Relationship Id="rId7" Type="http://schemas.openxmlformats.org/officeDocument/2006/relationships/table" Target="../tables/table26.xml"/><Relationship Id="rId8" Type="http://schemas.openxmlformats.org/officeDocument/2006/relationships/table" Target="../tables/table2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9" Type="http://schemas.openxmlformats.org/officeDocument/2006/relationships/table" Target="../tables/table32.xml"/><Relationship Id="rId6" Type="http://schemas.openxmlformats.org/officeDocument/2006/relationships/table" Target="../tables/table29.xml"/><Relationship Id="rId7" Type="http://schemas.openxmlformats.org/officeDocument/2006/relationships/table" Target="../tables/table30.xml"/><Relationship Id="rId8" Type="http://schemas.openxmlformats.org/officeDocument/2006/relationships/table" Target="../tables/table3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9" Type="http://schemas.openxmlformats.org/officeDocument/2006/relationships/table" Target="../tables/table36.xml"/><Relationship Id="rId6" Type="http://schemas.openxmlformats.org/officeDocument/2006/relationships/table" Target="../tables/table33.xml"/><Relationship Id="rId7" Type="http://schemas.openxmlformats.org/officeDocument/2006/relationships/table" Target="../tables/table34.xml"/><Relationship Id="rId8" Type="http://schemas.openxmlformats.org/officeDocument/2006/relationships/table" Target="../tables/table35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9" Type="http://schemas.openxmlformats.org/officeDocument/2006/relationships/table" Target="../tables/table40.xml"/><Relationship Id="rId6" Type="http://schemas.openxmlformats.org/officeDocument/2006/relationships/table" Target="../tables/table37.xml"/><Relationship Id="rId7" Type="http://schemas.openxmlformats.org/officeDocument/2006/relationships/table" Target="../tables/table38.xml"/><Relationship Id="rId8" Type="http://schemas.openxmlformats.org/officeDocument/2006/relationships/table" Target="../tables/table3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9" Type="http://schemas.openxmlformats.org/officeDocument/2006/relationships/table" Target="../tables/table44.xml"/><Relationship Id="rId6" Type="http://schemas.openxmlformats.org/officeDocument/2006/relationships/table" Target="../tables/table41.xml"/><Relationship Id="rId7" Type="http://schemas.openxmlformats.org/officeDocument/2006/relationships/table" Target="../tables/table42.xml"/><Relationship Id="rId8" Type="http://schemas.openxmlformats.org/officeDocument/2006/relationships/table" Target="../tables/table4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9" Type="http://schemas.openxmlformats.org/officeDocument/2006/relationships/table" Target="../tables/table48.xml"/><Relationship Id="rId6" Type="http://schemas.openxmlformats.org/officeDocument/2006/relationships/table" Target="../tables/table45.xml"/><Relationship Id="rId7" Type="http://schemas.openxmlformats.org/officeDocument/2006/relationships/table" Target="../tables/table46.xml"/><Relationship Id="rId8" Type="http://schemas.openxmlformats.org/officeDocument/2006/relationships/table" Target="../tables/table47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9" Type="http://schemas.openxmlformats.org/officeDocument/2006/relationships/table" Target="../tables/table52.xml"/><Relationship Id="rId6" Type="http://schemas.openxmlformats.org/officeDocument/2006/relationships/table" Target="../tables/table49.xml"/><Relationship Id="rId7" Type="http://schemas.openxmlformats.org/officeDocument/2006/relationships/table" Target="../tables/table50.xml"/><Relationship Id="rId8" Type="http://schemas.openxmlformats.org/officeDocument/2006/relationships/table" Target="../tables/table5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9" Type="http://schemas.openxmlformats.org/officeDocument/2006/relationships/table" Target="../tables/table56.xml"/><Relationship Id="rId6" Type="http://schemas.openxmlformats.org/officeDocument/2006/relationships/table" Target="../tables/table53.xml"/><Relationship Id="rId7" Type="http://schemas.openxmlformats.org/officeDocument/2006/relationships/table" Target="../tables/table54.xml"/><Relationship Id="rId8" Type="http://schemas.openxmlformats.org/officeDocument/2006/relationships/table" Target="../tables/table5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9" Type="http://schemas.openxmlformats.org/officeDocument/2006/relationships/table" Target="../tables/table60.xml"/><Relationship Id="rId6" Type="http://schemas.openxmlformats.org/officeDocument/2006/relationships/table" Target="../tables/table57.xml"/><Relationship Id="rId7" Type="http://schemas.openxmlformats.org/officeDocument/2006/relationships/table" Target="../tables/table58.xml"/><Relationship Id="rId8" Type="http://schemas.openxmlformats.org/officeDocument/2006/relationships/table" Target="../tables/table59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9" Type="http://schemas.openxmlformats.org/officeDocument/2006/relationships/table" Target="../tables/table64.xml"/><Relationship Id="rId6" Type="http://schemas.openxmlformats.org/officeDocument/2006/relationships/table" Target="../tables/table61.xml"/><Relationship Id="rId7" Type="http://schemas.openxmlformats.org/officeDocument/2006/relationships/table" Target="../tables/table62.xml"/><Relationship Id="rId8" Type="http://schemas.openxmlformats.org/officeDocument/2006/relationships/table" Target="../tables/table63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9" Type="http://schemas.openxmlformats.org/officeDocument/2006/relationships/table" Target="../tables/table68.xml"/><Relationship Id="rId6" Type="http://schemas.openxmlformats.org/officeDocument/2006/relationships/table" Target="../tables/table65.xml"/><Relationship Id="rId7" Type="http://schemas.openxmlformats.org/officeDocument/2006/relationships/table" Target="../tables/table66.xml"/><Relationship Id="rId8" Type="http://schemas.openxmlformats.org/officeDocument/2006/relationships/table" Target="../tables/table67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9" Type="http://schemas.openxmlformats.org/officeDocument/2006/relationships/table" Target="../tables/table72.xml"/><Relationship Id="rId6" Type="http://schemas.openxmlformats.org/officeDocument/2006/relationships/table" Target="../tables/table69.xml"/><Relationship Id="rId7" Type="http://schemas.openxmlformats.org/officeDocument/2006/relationships/table" Target="../tables/table70.xml"/><Relationship Id="rId8" Type="http://schemas.openxmlformats.org/officeDocument/2006/relationships/table" Target="../tables/table71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9" Type="http://schemas.openxmlformats.org/officeDocument/2006/relationships/table" Target="../tables/table76.xml"/><Relationship Id="rId6" Type="http://schemas.openxmlformats.org/officeDocument/2006/relationships/table" Target="../tables/table73.xml"/><Relationship Id="rId7" Type="http://schemas.openxmlformats.org/officeDocument/2006/relationships/table" Target="../tables/table74.xml"/><Relationship Id="rId8" Type="http://schemas.openxmlformats.org/officeDocument/2006/relationships/table" Target="../tables/table75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9" Type="http://schemas.openxmlformats.org/officeDocument/2006/relationships/table" Target="../tables/table80.xml"/><Relationship Id="rId6" Type="http://schemas.openxmlformats.org/officeDocument/2006/relationships/table" Target="../tables/table77.xml"/><Relationship Id="rId7" Type="http://schemas.openxmlformats.org/officeDocument/2006/relationships/table" Target="../tables/table78.xml"/><Relationship Id="rId8" Type="http://schemas.openxmlformats.org/officeDocument/2006/relationships/table" Target="../tables/table79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9" Type="http://schemas.openxmlformats.org/officeDocument/2006/relationships/table" Target="../tables/table84.xml"/><Relationship Id="rId6" Type="http://schemas.openxmlformats.org/officeDocument/2006/relationships/table" Target="../tables/table81.xml"/><Relationship Id="rId7" Type="http://schemas.openxmlformats.org/officeDocument/2006/relationships/table" Target="../tables/table82.xml"/><Relationship Id="rId8" Type="http://schemas.openxmlformats.org/officeDocument/2006/relationships/table" Target="../tables/table83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9" Type="http://schemas.openxmlformats.org/officeDocument/2006/relationships/table" Target="../tables/table88.xml"/><Relationship Id="rId6" Type="http://schemas.openxmlformats.org/officeDocument/2006/relationships/table" Target="../tables/table85.xml"/><Relationship Id="rId7" Type="http://schemas.openxmlformats.org/officeDocument/2006/relationships/table" Target="../tables/table86.xml"/><Relationship Id="rId8" Type="http://schemas.openxmlformats.org/officeDocument/2006/relationships/table" Target="../tables/table87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9" Type="http://schemas.openxmlformats.org/officeDocument/2006/relationships/table" Target="../tables/table92.xml"/><Relationship Id="rId6" Type="http://schemas.openxmlformats.org/officeDocument/2006/relationships/table" Target="../tables/table89.xml"/><Relationship Id="rId7" Type="http://schemas.openxmlformats.org/officeDocument/2006/relationships/table" Target="../tables/table90.xml"/><Relationship Id="rId8" Type="http://schemas.openxmlformats.org/officeDocument/2006/relationships/table" Target="../tables/table91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9" Type="http://schemas.openxmlformats.org/officeDocument/2006/relationships/table" Target="../tables/table96.xml"/><Relationship Id="rId6" Type="http://schemas.openxmlformats.org/officeDocument/2006/relationships/table" Target="../tables/table93.xml"/><Relationship Id="rId7" Type="http://schemas.openxmlformats.org/officeDocument/2006/relationships/table" Target="../tables/table94.xml"/><Relationship Id="rId8" Type="http://schemas.openxmlformats.org/officeDocument/2006/relationships/table" Target="../tables/table9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9" Type="http://schemas.openxmlformats.org/officeDocument/2006/relationships/table" Target="../tables/table100.xml"/><Relationship Id="rId6" Type="http://schemas.openxmlformats.org/officeDocument/2006/relationships/table" Target="../tables/table97.xml"/><Relationship Id="rId7" Type="http://schemas.openxmlformats.org/officeDocument/2006/relationships/table" Target="../tables/table98.xml"/><Relationship Id="rId8" Type="http://schemas.openxmlformats.org/officeDocument/2006/relationships/table" Target="../tables/table99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9" Type="http://schemas.openxmlformats.org/officeDocument/2006/relationships/table" Target="../tables/table104.xml"/><Relationship Id="rId6" Type="http://schemas.openxmlformats.org/officeDocument/2006/relationships/table" Target="../tables/table101.xml"/><Relationship Id="rId7" Type="http://schemas.openxmlformats.org/officeDocument/2006/relationships/table" Target="../tables/table102.xml"/><Relationship Id="rId8" Type="http://schemas.openxmlformats.org/officeDocument/2006/relationships/table" Target="../tables/table103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9" Type="http://schemas.openxmlformats.org/officeDocument/2006/relationships/table" Target="../tables/table108.xml"/><Relationship Id="rId6" Type="http://schemas.openxmlformats.org/officeDocument/2006/relationships/table" Target="../tables/table105.xml"/><Relationship Id="rId7" Type="http://schemas.openxmlformats.org/officeDocument/2006/relationships/table" Target="../tables/table106.xml"/><Relationship Id="rId8" Type="http://schemas.openxmlformats.org/officeDocument/2006/relationships/table" Target="../tables/table107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9" Type="http://schemas.openxmlformats.org/officeDocument/2006/relationships/table" Target="../tables/table112.xml"/><Relationship Id="rId6" Type="http://schemas.openxmlformats.org/officeDocument/2006/relationships/table" Target="../tables/table109.xml"/><Relationship Id="rId7" Type="http://schemas.openxmlformats.org/officeDocument/2006/relationships/table" Target="../tables/table110.xml"/><Relationship Id="rId8" Type="http://schemas.openxmlformats.org/officeDocument/2006/relationships/table" Target="../tables/table111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9" Type="http://schemas.openxmlformats.org/officeDocument/2006/relationships/table" Target="../tables/table116.xml"/><Relationship Id="rId6" Type="http://schemas.openxmlformats.org/officeDocument/2006/relationships/table" Target="../tables/table113.xml"/><Relationship Id="rId7" Type="http://schemas.openxmlformats.org/officeDocument/2006/relationships/table" Target="../tables/table114.xml"/><Relationship Id="rId8" Type="http://schemas.openxmlformats.org/officeDocument/2006/relationships/table" Target="../tables/table115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9" Type="http://schemas.openxmlformats.org/officeDocument/2006/relationships/table" Target="../tables/table120.xml"/><Relationship Id="rId6" Type="http://schemas.openxmlformats.org/officeDocument/2006/relationships/table" Target="../tables/table117.xml"/><Relationship Id="rId7" Type="http://schemas.openxmlformats.org/officeDocument/2006/relationships/table" Target="../tables/table118.xml"/><Relationship Id="rId8" Type="http://schemas.openxmlformats.org/officeDocument/2006/relationships/table" Target="../tables/table1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0"/>
    <col customWidth="1" min="3" max="3" width="26.57"/>
    <col customWidth="1" min="4" max="4" width="16.57"/>
    <col customWidth="1" min="5" max="5" width="14.0"/>
    <col customWidth="1" min="6" max="6" width="25.14"/>
  </cols>
  <sheetData>
    <row r="1">
      <c r="B1" s="1" t="s">
        <v>0</v>
      </c>
    </row>
    <row r="3">
      <c r="B3" s="2" t="s">
        <v>1</v>
      </c>
    </row>
    <row r="6">
      <c r="B6" s="3"/>
      <c r="C6" s="3"/>
      <c r="D6" s="3"/>
      <c r="E6" s="3"/>
      <c r="F6" s="3"/>
    </row>
    <row r="7">
      <c r="B7" s="2" t="s">
        <v>4</v>
      </c>
    </row>
    <row r="9">
      <c r="B9" s="3"/>
      <c r="C9" s="3"/>
      <c r="D9" s="3"/>
      <c r="E9" s="3"/>
      <c r="F9" s="3"/>
    </row>
    <row r="10">
      <c r="B10" s="15" t="s">
        <v>14</v>
      </c>
      <c r="C10" s="15" t="s">
        <v>17</v>
      </c>
      <c r="D10" s="15" t="s">
        <v>18</v>
      </c>
      <c r="E10" s="15" t="s">
        <v>19</v>
      </c>
      <c r="F10" s="15" t="s">
        <v>20</v>
      </c>
    </row>
    <row r="11">
      <c r="B11" s="17"/>
      <c r="C11" s="17"/>
      <c r="D11" s="17"/>
      <c r="E11" s="17"/>
      <c r="F11" s="17"/>
    </row>
    <row r="12">
      <c r="B12" s="18" t="s">
        <v>21</v>
      </c>
      <c r="C12" s="20"/>
      <c r="D12" s="20"/>
      <c r="E12" s="20"/>
      <c r="F12" s="21">
        <f>SUM(D13,D15,D17)</f>
        <v>46941</v>
      </c>
    </row>
    <row r="13">
      <c r="B13" s="22"/>
      <c r="C13" s="25" t="s">
        <v>5</v>
      </c>
      <c r="D13" s="31">
        <f>SUM('Footman Training I'!F15,'Footman Training I'!F34,'Footman Training I'!F56,'Footman Training I'!F85)</f>
        <v>15647</v>
      </c>
      <c r="E13" s="32" t="str">
        <f>ROUND(100 * (
  COUNT('Footman Training I'!D4:E14) +
  COUNT('Footman Training I'!D20:E33) +
  COUNT('Footman Training I'!D39:E55) +
  COUNT('Footman Training I'!D61:E84)
) / (
  'Footman Training I'!D15 +
  'Footman Training I'!D34 +
  'Footman Training I'!D56 +
  'Footman Training I'!D85
), 2) &amp; "%"</f>
        <v>100%</v>
      </c>
      <c r="F13" s="22"/>
    </row>
    <row r="14">
      <c r="B14" s="22"/>
      <c r="C14" s="33"/>
      <c r="D14" s="33"/>
      <c r="E14" s="33"/>
      <c r="F14" s="22"/>
    </row>
    <row r="15">
      <c r="B15" s="22"/>
      <c r="C15" s="25" t="s">
        <v>3</v>
      </c>
      <c r="D15" s="31">
        <f>SUM('Cavalry Training I'!F15,'Cavalry Training I'!F34,'Cavalry Training I'!F56,'Cavalry Training I'!F85)</f>
        <v>15647</v>
      </c>
      <c r="E15" s="32" t="str">
        <f>ROUND(100 * (
  COUNT('Cavalry Training I'!D4:E14) +
  COUNT('Cavalry Training I'!D20:E33) +
  COUNT('Cavalry Training I'!D39:E55) +
  COUNT('Cavalry Training I'!D61:E84)
) / (
  'Cavalry Training I'!D15 +
  'Cavalry Training I'!D34 +
  'Cavalry Training I'!D56 +
  'Cavalry Training I'!D85
), 2) &amp; "%"</f>
        <v>100%</v>
      </c>
      <c r="F15" s="22"/>
    </row>
    <row r="16">
      <c r="B16" s="22"/>
      <c r="C16" s="33"/>
      <c r="D16" s="33"/>
      <c r="E16" s="33"/>
      <c r="F16" s="22"/>
    </row>
    <row r="17">
      <c r="B17" s="22"/>
      <c r="C17" s="25" t="s">
        <v>2</v>
      </c>
      <c r="D17" s="31">
        <f>SUM('Archer Training I'!F15,'Archer Training I'!F34,'Archer Training I'!F56,'Archer Training I'!F85)</f>
        <v>15647</v>
      </c>
      <c r="E17" s="32" t="str">
        <f>ROUND(100 * (
  COUNT('Archer Training I'!D4:E14) +
  COUNT('Archer Training I'!D20:E33) +
  COUNT('Archer Training I'!D39:E55) +
  COUNT('Archer Training I'!D61:E84)
) / (
  'Archer Training I'!D15 +
  'Archer Training I'!D34 +
  'Archer Training I'!D56 +
  'Archer Training I'!D85
), 2) &amp; "%"</f>
        <v>100%</v>
      </c>
      <c r="F17" s="22"/>
    </row>
    <row r="18">
      <c r="B18" s="17"/>
      <c r="C18" s="34"/>
      <c r="D18" s="34"/>
      <c r="E18" s="34"/>
      <c r="F18" s="17"/>
    </row>
    <row r="19">
      <c r="B19" s="35"/>
      <c r="C19" s="36"/>
      <c r="D19" s="35"/>
      <c r="E19" s="35"/>
      <c r="F19" s="35"/>
    </row>
    <row r="20">
      <c r="B20" s="18" t="s">
        <v>86</v>
      </c>
      <c r="C20" s="20"/>
      <c r="D20" s="20"/>
      <c r="E20" s="20"/>
      <c r="F20" s="21">
        <f>SUM(D21,D23,D25)</f>
        <v>80382</v>
      </c>
    </row>
    <row r="21">
      <c r="B21" s="22"/>
      <c r="C21" s="25" t="s">
        <v>92</v>
      </c>
      <c r="D21" s="31">
        <f>SUM('Footman Training II'!F18,'Footman Training II'!F41,'Footman Training II'!F69,'Footman Training II'!F102)</f>
        <v>26794</v>
      </c>
      <c r="E21" s="32" t="str">
        <f>ROUND(100 * (
  COUNT('Footman Training II'!D4:E17) +
  COUNT('Footman Training II'!D23:E40) +
  COUNT('Footman Training II'!D46:E68) +
  COUNT('Footman Training II'!D74:E101)
) / (
  'Footman Training II'!D18 +
  'Footman Training II'!D41 +
  'Footman Training II'!D69 +
  'Footman Training II'!D102
), 2) &amp; "%"</f>
        <v>100%</v>
      </c>
      <c r="F21" s="22"/>
    </row>
    <row r="22">
      <c r="B22" s="22"/>
      <c r="C22" s="33"/>
      <c r="D22" s="33"/>
      <c r="E22" s="33"/>
      <c r="F22" s="22"/>
    </row>
    <row r="23">
      <c r="B23" s="22"/>
      <c r="C23" s="25" t="s">
        <v>103</v>
      </c>
      <c r="D23" s="31">
        <f>SUM('Cavalry Training II'!F18,'Cavalry Training II'!F41,'Cavalry Training II'!F69,'Cavalry Training II'!F102)</f>
        <v>26794</v>
      </c>
      <c r="E23" s="32" t="str">
        <f>ROUND(100 * (
  COUNT('Cavalry Training II'!D4:E17) +
  COUNT('Cavalry Training II'!D23:E40) +
  COUNT('Cavalry Training II'!D46:E68) +
  COUNT('Cavalry Training II'!D74:E101)
) / (
  'Cavalry Training II'!D18 +
  'Cavalry Training II'!D41 +
  'Cavalry Training II'!D69 +
  'Cavalry Training II'!D102
), 2) &amp; "%"</f>
        <v>100%</v>
      </c>
      <c r="F23" s="22"/>
    </row>
    <row r="24">
      <c r="B24" s="22"/>
      <c r="C24" s="33"/>
      <c r="D24" s="33"/>
      <c r="E24" s="33"/>
      <c r="F24" s="22"/>
    </row>
    <row r="25">
      <c r="B25" s="22"/>
      <c r="C25" s="25" t="s">
        <v>112</v>
      </c>
      <c r="D25" s="31">
        <f>SUM('Archer Training II'!F18,'Archer Training II'!F41,'Archer Training II'!F69,'Archer Training II'!F102)</f>
        <v>26794</v>
      </c>
      <c r="E25" s="32" t="str">
        <f>ROUND(100 * (
  COUNT('Archer Training II'!D4:E17) +
  COUNT('Archer Training II'!D23:E40) +
  COUNT('Archer Training II'!D46:E68) +
  COUNT('Archer Training II'!D74:E101)
) / (
  'Archer Training II'!D18 +
  'Archer Training II'!D41 +
  'Archer Training II'!D69 +
  'Archer Training II'!D102
), 2) &amp; "%"</f>
        <v>100%</v>
      </c>
      <c r="F25" s="22"/>
    </row>
    <row r="26">
      <c r="B26" s="17"/>
      <c r="C26" s="34"/>
      <c r="D26" s="34"/>
      <c r="E26" s="34"/>
      <c r="F26" s="17"/>
    </row>
    <row r="27">
      <c r="B27" s="35"/>
      <c r="C27" s="36"/>
      <c r="D27" s="35"/>
      <c r="E27" s="35"/>
      <c r="F27" s="35"/>
    </row>
    <row r="28">
      <c r="B28" s="18" t="s">
        <v>118</v>
      </c>
      <c r="C28" s="20"/>
      <c r="D28" s="20"/>
      <c r="E28" s="20"/>
      <c r="F28" s="21">
        <f>SUM(D29,D31,D33)</f>
        <v>156573</v>
      </c>
    </row>
    <row r="29">
      <c r="B29" s="22"/>
      <c r="C29" s="25" t="s">
        <v>120</v>
      </c>
      <c r="D29" s="31">
        <f>SUM('Footman Training III'!F21,'Footman Training III'!F50,'Footman Training III'!F84,'Footman Training III'!F123)</f>
        <v>52191</v>
      </c>
      <c r="E29" s="32" t="str">
        <f>ROUND(100 * (
  COUNT('Footman Training III'!D4:E20) +
  COUNT('Footman Training III'!D26:E49) +
  COUNT('Footman Training III'!D55:E83) +
  COUNT('Footman Training III'!D89:E122)
) / (
  'Footman Training III'!D21 +
  'Footman Training III'!D50 +
  'Footman Training III'!D84 +
  'Footman Training III'!D123
), 2) &amp; "%"</f>
        <v>100%</v>
      </c>
      <c r="F29" s="22"/>
    </row>
    <row r="30">
      <c r="B30" s="22"/>
      <c r="C30" s="33"/>
      <c r="D30" s="33"/>
      <c r="E30" s="33"/>
      <c r="F30" s="22"/>
    </row>
    <row r="31">
      <c r="B31" s="22"/>
      <c r="C31" s="25" t="s">
        <v>128</v>
      </c>
      <c r="D31" s="31">
        <f>SUM('Cavalry Training III'!F21,'Cavalry Training III'!F50,'Cavalry Training III'!F84,'Cavalry Training III'!F123)</f>
        <v>52191</v>
      </c>
      <c r="E31" s="32" t="str">
        <f>ROUND(100 * (
  COUNT('Cavalry Training III'!D4:E20) +
  COUNT('Cavalry Training III'!D26:E49) +
  COUNT('Cavalry Training III'!D55:E83) +
  COUNT('Cavalry Training III'!D89:E122)
) / (
  'Cavalry Training III'!D21 +
  'Cavalry Training III'!D50 +
  'Cavalry Training III'!D84 +
  'Cavalry Training III'!D123
), 2) &amp; "%"</f>
        <v>100%</v>
      </c>
      <c r="F31" s="22"/>
    </row>
    <row r="32">
      <c r="B32" s="22"/>
      <c r="C32" s="33"/>
      <c r="D32" s="33"/>
      <c r="E32" s="33"/>
      <c r="F32" s="22"/>
    </row>
    <row r="33">
      <c r="B33" s="22"/>
      <c r="C33" s="25" t="s">
        <v>131</v>
      </c>
      <c r="D33" s="31">
        <f>SUM('Archer Training III'!F21,'Archer Training III'!F50,'Archer Training III'!F84,'Archer Training III'!F123)</f>
        <v>52191</v>
      </c>
      <c r="E33" s="32" t="str">
        <f>ROUND(100 * (
  COUNT('Archer Training III'!D4:E20) +
  COUNT('Archer Training III'!D26:E49) +
  COUNT('Archer Training III'!D55:E83) +
  COUNT('Archer Training III'!D89:E122)
) / (
  'Archer Training III'!D21 +
  'Archer Training III'!D50 +
  'Archer Training III'!D84 +
  'Archer Training III'!D123
), 2) &amp; "%"</f>
        <v>100%</v>
      </c>
      <c r="F33" s="22"/>
    </row>
    <row r="34">
      <c r="B34" s="17"/>
      <c r="C34" s="34"/>
      <c r="D34" s="34"/>
      <c r="E34" s="34"/>
      <c r="F34" s="17"/>
    </row>
    <row r="35">
      <c r="B35" s="35"/>
      <c r="C35" s="36"/>
      <c r="D35" s="35"/>
      <c r="E35" s="35"/>
      <c r="F35" s="35"/>
    </row>
    <row r="36">
      <c r="B36" s="18" t="s">
        <v>134</v>
      </c>
      <c r="C36" s="20"/>
      <c r="D36" s="20"/>
      <c r="E36" s="20"/>
      <c r="F36" s="21">
        <f>SUM(D37,D39,D41)</f>
        <v>209346</v>
      </c>
    </row>
    <row r="37">
      <c r="B37" s="22"/>
      <c r="C37" s="25" t="s">
        <v>135</v>
      </c>
      <c r="D37" s="31">
        <f>SUM('Footman Training IV'!F28,'Footman Training IV'!F62,'Footman Training IV'!F100,'Footman Training IV'!F139)</f>
        <v>69782</v>
      </c>
      <c r="E37" s="32" t="str">
        <f>ROUND(100 * (
  COUNT('Footman Training IV'!D4:E27) +
  COUNT('Footman Training IV'!D33:E61) +
  COUNT('Footman Training IV'!D67:E99) +
  COUNT('Footman Training IV'!D105:E138)
) / (
  'Footman Training IV'!D28 +
  'Footman Training IV'!D62 +
  'Footman Training IV'!D100 +
  'Footman Training IV'!D139
), 2) &amp; "%"</f>
        <v>100%</v>
      </c>
      <c r="F37" s="22"/>
    </row>
    <row r="38">
      <c r="B38" s="22"/>
      <c r="C38" s="33"/>
      <c r="D38" s="33"/>
      <c r="E38" s="33"/>
      <c r="F38" s="22"/>
    </row>
    <row r="39">
      <c r="B39" s="22"/>
      <c r="C39" s="25" t="s">
        <v>142</v>
      </c>
      <c r="D39" s="31">
        <f>SUM('Cavalry Training IV'!F28,'Cavalry Training IV'!F62,'Cavalry Training IV'!F100,'Cavalry Training IV'!F139)</f>
        <v>69782</v>
      </c>
      <c r="E39" s="32" t="str">
        <f>ROUND(100 * (
  COUNT('Cavalry Training IV'!D4:E27) +
  COUNT('Cavalry Training IV'!D33:E61) +
  COUNT('Cavalry Training IV'!D67:E99) +
  COUNT('Cavalry Training IV'!D105:E138)
) / (
  'Cavalry Training IV'!D28 +
  'Cavalry Training IV'!D62 +
  'Cavalry Training IV'!D100 +
  'Cavalry Training IV'!D139
), 2) &amp; "%"</f>
        <v>100%</v>
      </c>
      <c r="F39" s="22"/>
    </row>
    <row r="40">
      <c r="B40" s="22"/>
      <c r="C40" s="33"/>
      <c r="D40" s="33"/>
      <c r="E40" s="33"/>
      <c r="F40" s="22"/>
    </row>
    <row r="41">
      <c r="B41" s="22"/>
      <c r="C41" s="25" t="s">
        <v>147</v>
      </c>
      <c r="D41" s="31">
        <f>SUM('Archer Training IV'!F28,'Archer Training IV'!F62,'Archer Training IV'!F100,'Archer Training IV'!F139)</f>
        <v>69782</v>
      </c>
      <c r="E41" s="32" t="str">
        <f>ROUND(100 * (
  COUNT('Archer Training IV'!D4:E27) +
  COUNT('Archer Training IV'!D33:E61) +
  COUNT('Archer Training IV'!D67:E99) +
  COUNT('Archer Training IV'!D105:E138)
) / (
  'Archer Training IV'!D28 +
  'Archer Training IV'!D62 +
  'Archer Training IV'!D100 +
  'Archer Training IV'!D139
), 2) &amp; "%"</f>
        <v>100%</v>
      </c>
      <c r="F41" s="22"/>
    </row>
    <row r="42">
      <c r="B42" s="17"/>
      <c r="C42" s="34"/>
      <c r="D42" s="34"/>
      <c r="E42" s="34"/>
      <c r="F42" s="17"/>
    </row>
    <row r="43">
      <c r="B43" s="35"/>
      <c r="C43" s="36"/>
      <c r="D43" s="35"/>
      <c r="E43" s="35"/>
      <c r="F43" s="35"/>
    </row>
    <row r="44">
      <c r="B44" s="18" t="s">
        <v>155</v>
      </c>
      <c r="C44" s="20"/>
      <c r="D44" s="20"/>
      <c r="E44" s="20"/>
      <c r="F44" s="21">
        <f>SUM(D45,D47,D49)</f>
        <v>215562</v>
      </c>
    </row>
    <row r="45">
      <c r="B45" s="22"/>
      <c r="C45" s="25" t="s">
        <v>159</v>
      </c>
      <c r="D45" s="31">
        <f>SUM('Footman Training V'!F18,'Footman Training V'!F47,'Footman Training V'!F81,'Footman Training V'!F119)</f>
        <v>71854</v>
      </c>
      <c r="E45" s="32" t="str">
        <f>ROUND(100 * (
  COUNT('Footman Training V'!D4:E17) +
  COUNT('Footman Training V'!D23:E46) +
  COUNT('Footman Training V'!D52:E80) +
  COUNT('Footman Training V'!D86:E118)
) / (
  'Footman Training V'!D18 +
  'Footman Training V'!D47 +
  'Footman Training V'!D81 +
  'Footman Training V'!D119
), 2) &amp; "%"</f>
        <v>100%</v>
      </c>
      <c r="F45" s="22"/>
    </row>
    <row r="46">
      <c r="B46" s="22"/>
      <c r="C46" s="33"/>
      <c r="D46" s="33"/>
      <c r="E46" s="33"/>
      <c r="F46" s="22"/>
    </row>
    <row r="47">
      <c r="B47" s="22"/>
      <c r="C47" s="25" t="s">
        <v>163</v>
      </c>
      <c r="D47" s="31">
        <f>SUM('Cavalry Training V'!F18,'Cavalry Training V'!F47,'Cavalry Training V'!F81,'Cavalry Training V'!F119)</f>
        <v>71854</v>
      </c>
      <c r="E47" s="32" t="str">
        <f>ROUND(100 * (
  COUNT('Cavalry Training V'!D4:E17) +
  COUNT('Cavalry Training V'!D23:E46) +
  COUNT('Cavalry Training V'!D52:E80) +
  COUNT('Cavalry Training V'!D86:E118)
) / (
  'Cavalry Training V'!D18 +
  'Cavalry Training V'!D47 +
  'Cavalry Training V'!D81 +
  'Cavalry Training V'!D119
), 2) &amp; "%"</f>
        <v>100%</v>
      </c>
      <c r="F47" s="22"/>
    </row>
    <row r="48">
      <c r="B48" s="22"/>
      <c r="C48" s="33"/>
      <c r="D48" s="33"/>
      <c r="E48" s="33"/>
      <c r="F48" s="22"/>
    </row>
    <row r="49">
      <c r="B49" s="22"/>
      <c r="C49" s="25" t="s">
        <v>172</v>
      </c>
      <c r="D49" s="31">
        <f>SUM('Archer Training V'!F18,'Archer Training V'!F47,'Archer Training V'!F81,'Archer Training V'!F119)</f>
        <v>71854</v>
      </c>
      <c r="E49" s="32" t="str">
        <f>ROUND(100 * (
  COUNT('Archer Training V'!D4:E17) +
  COUNT('Archer Training V'!D23:E46) +
  COUNT('Archer Training V'!D52:E80) +
  COUNT('Archer Training V'!D86:E118)
) / (
  'Archer Training V'!D18 +
  'Archer Training V'!D47 +
  'Archer Training V'!D81 +
  'Archer Training V'!D119
), 2) &amp; "%"</f>
        <v>100%</v>
      </c>
      <c r="F49" s="22"/>
    </row>
    <row r="50">
      <c r="B50" s="17"/>
      <c r="C50" s="34"/>
      <c r="D50" s="34"/>
      <c r="E50" s="34"/>
      <c r="F50" s="17"/>
    </row>
    <row r="51">
      <c r="B51" s="35"/>
      <c r="C51" s="36"/>
      <c r="D51" s="35"/>
      <c r="E51" s="35"/>
      <c r="F51" s="35"/>
    </row>
    <row r="52">
      <c r="B52" s="18" t="s">
        <v>182</v>
      </c>
      <c r="C52" s="20"/>
      <c r="D52" s="20"/>
      <c r="E52" s="20"/>
      <c r="F52" s="21">
        <f>SUM(D53,D55,D57)</f>
        <v>277986</v>
      </c>
    </row>
    <row r="53">
      <c r="B53" s="22"/>
      <c r="C53" s="25" t="s">
        <v>185</v>
      </c>
      <c r="D53" s="31">
        <f>SUM('Footman Training VI'!F21,'Footman Training VI'!F54,'Footman Training VI'!F93,'Footman Training VI'!F132)</f>
        <v>92662</v>
      </c>
      <c r="E53" s="32" t="str">
        <f>ROUND(100 * (
  COUNT('Footman Training VI'!D4:E20) +
  COUNT('Footman Training VI'!D26:E53) +
  COUNT('Footman Training VI'!D59:E92) +
  COUNT('Footman Training VI'!D98:E131)
) / (
  'Footman Training VI'!D21 +
  'Footman Training VI'!D54 +
  'Footman Training VI'!D93 +
  'Footman Training VI'!D132
), 2) &amp; "%"</f>
        <v>100%</v>
      </c>
      <c r="F53" s="22"/>
    </row>
    <row r="54">
      <c r="B54" s="22"/>
      <c r="C54" s="33"/>
      <c r="D54" s="33"/>
      <c r="E54" s="33"/>
      <c r="F54" s="22"/>
    </row>
    <row r="55">
      <c r="B55" s="22"/>
      <c r="C55" s="25" t="s">
        <v>193</v>
      </c>
      <c r="D55" s="31">
        <f>SUM('Cavalry Training VI'!F21,'Cavalry Training VI'!F54,'Cavalry Training VI'!F93,'Cavalry Training VI'!F132)</f>
        <v>92662</v>
      </c>
      <c r="E55" s="32" t="str">
        <f>ROUND(100 * (
  COUNT('Cavalry Training VI'!D4:E20) +
  COUNT('Cavalry Training VI'!D26:E53) +
  COUNT('Cavalry Training VI'!D59:E92) +
  COUNT('Cavalry Training VI'!D98:E131)
) / (
  'Cavalry Training VI'!D21 +
  'Cavalry Training VI'!D54 +
  'Cavalry Training VI'!D93 +
  'Cavalry Training VI'!D132
), 2) &amp; "%"</f>
        <v>100%</v>
      </c>
      <c r="F55" s="22"/>
    </row>
    <row r="56">
      <c r="B56" s="22"/>
      <c r="C56" s="33"/>
      <c r="D56" s="33"/>
      <c r="E56" s="33"/>
      <c r="F56" s="22"/>
    </row>
    <row r="57">
      <c r="B57" s="22"/>
      <c r="C57" s="25" t="s">
        <v>199</v>
      </c>
      <c r="D57" s="31">
        <f>SUM('Archer Training VI'!F21,'Archer Training VI'!F54,'Archer Training VI'!F93,'Archer Training VI'!F132)</f>
        <v>92662</v>
      </c>
      <c r="E57" s="32" t="str">
        <f>ROUND(100 * (
  COUNT('Archer Training VI'!D4:E20) +
  COUNT('Archer Training VI'!D26:E53) +
  COUNT('Archer Training VI'!D59:E92) +
  COUNT('Archer Training VI'!D98:E131)
) / (
  'Archer Training VI'!D21 +
  'Archer Training VI'!D54 +
  'Archer Training VI'!D93 +
  'Archer Training VI'!D132
), 2) &amp; "%"</f>
        <v>100%</v>
      </c>
      <c r="F57" s="22"/>
    </row>
    <row r="58">
      <c r="B58" s="17"/>
      <c r="C58" s="34"/>
      <c r="D58" s="34"/>
      <c r="E58" s="34"/>
      <c r="F58" s="17"/>
    </row>
    <row r="59">
      <c r="B59" s="35"/>
      <c r="C59" s="36"/>
      <c r="D59" s="35"/>
      <c r="E59" s="35"/>
      <c r="F59" s="35"/>
    </row>
    <row r="60">
      <c r="B60" s="18" t="s">
        <v>209</v>
      </c>
      <c r="C60" s="20"/>
      <c r="D60" s="20"/>
      <c r="E60" s="20"/>
      <c r="F60" s="21">
        <f>SUM(D61,D63,D65)</f>
        <v>493383</v>
      </c>
    </row>
    <row r="61">
      <c r="B61" s="22"/>
      <c r="C61" s="25" t="s">
        <v>216</v>
      </c>
      <c r="D61" s="31">
        <f>SUM('Footman Training VII'!F15,'Footman Training VII'!F34,'Footman Training VII'!F56,'Footman Training VII'!F85)</f>
        <v>164461</v>
      </c>
      <c r="E61" s="32" t="str">
        <f>ROUND(100 * (
  COUNT('Footman Training VII'!D4:E14) +
  COUNT('Footman Training VII'!D20:E33) +
  COUNT('Footman Training VII'!D39:E55) +
  COUNT('Footman Training VII'!D61:E84)
) / (
  'Footman Training VII'!D15 +
  'Footman Training VII'!D34 +
  'Footman Training VII'!D56 +
  'Footman Training VII'!D85
), 2) &amp; "%"</f>
        <v>100%</v>
      </c>
      <c r="F61" s="22"/>
    </row>
    <row r="62">
      <c r="B62" s="22"/>
      <c r="C62" s="33"/>
      <c r="D62" s="33"/>
      <c r="E62" s="33"/>
      <c r="F62" s="22"/>
    </row>
    <row r="63">
      <c r="B63" s="22"/>
      <c r="C63" s="25" t="s">
        <v>228</v>
      </c>
      <c r="D63" s="31">
        <f>SUM('Cavalry Training VII'!F15,'Cavalry Training VII'!F34,'Cavalry Training VII'!F56,'Cavalry Training VII'!F85)</f>
        <v>164461</v>
      </c>
      <c r="E63" s="32" t="str">
        <f>ROUND(100 * (
  COUNT('Cavalry Training VII'!D4:E14) +
  COUNT('Cavalry Training VII'!D20:E33) +
  COUNT('Cavalry Training VII'!D39:E55) +
  COUNT('Cavalry Training VII'!D61:E84)
) / (
  'Cavalry Training VII'!D15 +
  'Cavalry Training VII'!D34 +
  'Cavalry Training VII'!D56 +
  'Cavalry Training VII'!D85
), 2) &amp; "%"</f>
        <v>100%</v>
      </c>
      <c r="F63" s="22"/>
    </row>
    <row r="64">
      <c r="B64" s="22"/>
      <c r="C64" s="33"/>
      <c r="D64" s="33"/>
      <c r="E64" s="33"/>
      <c r="F64" s="22"/>
    </row>
    <row r="65">
      <c r="B65" s="22"/>
      <c r="C65" s="25" t="s">
        <v>241</v>
      </c>
      <c r="D65" s="31">
        <f>SUM('Archer Training VII'!F15,'Archer Training VII'!F34,'Archer Training VII'!F56,'Archer Training VII'!F85)</f>
        <v>164461</v>
      </c>
      <c r="E65" s="32" t="str">
        <f>ROUND(100 * (
  COUNT('Archer Training VII'!D4:E14) +
  COUNT('Archer Training VII'!D20:E33) +
  COUNT('Archer Training VII'!D39:E55) +
  COUNT('Archer Training VII'!D61:E84)
) / (
  'Archer Training VII'!D15 +
  'Archer Training VII'!D34 +
  'Archer Training VII'!D56 +
  'Archer Training VII'!D85
), 2) &amp; "%"</f>
        <v>100%</v>
      </c>
      <c r="F65" s="22"/>
    </row>
    <row r="66">
      <c r="B66" s="17"/>
      <c r="C66" s="34"/>
      <c r="D66" s="34"/>
      <c r="E66" s="34"/>
      <c r="F66" s="17"/>
    </row>
    <row r="67">
      <c r="B67" s="35"/>
      <c r="C67" s="36"/>
      <c r="D67" s="35"/>
      <c r="E67" s="35"/>
      <c r="F67" s="35"/>
    </row>
    <row r="68">
      <c r="B68" s="18" t="s">
        <v>252</v>
      </c>
      <c r="C68" s="20"/>
      <c r="D68" s="20"/>
      <c r="E68" s="20"/>
      <c r="F68" s="21">
        <f>SUM(D69,D71,D73)</f>
        <v>690744</v>
      </c>
    </row>
    <row r="69">
      <c r="B69" s="22"/>
      <c r="C69" s="25" t="s">
        <v>255</v>
      </c>
      <c r="D69" s="31">
        <f>SUM('Footman Training VIII'!F18,'Footman Training VIII'!F41,'Footman Training VIII'!F69,'Footman Training VIII'!F102)</f>
        <v>230248</v>
      </c>
      <c r="E69" s="32" t="str">
        <f>ROUND(100 * (
  COUNT('Footman Training VIII'!D4:E17) +
  COUNT('Footman Training VIII'!D23:E40) +
  COUNT('Footman Training VIII'!D46:E68) +
  COUNT('Footman Training VIII'!D74:E101)
) / (
  'Footman Training VIII'!D18 +
  'Footman Training VIII'!D41 +
  'Footman Training VIII'!D69 +
  'Footman Training VIII'!D102
), 2) &amp; "%"</f>
        <v>100%</v>
      </c>
      <c r="F69" s="22"/>
    </row>
    <row r="70">
      <c r="B70" s="22"/>
      <c r="C70" s="33"/>
      <c r="D70" s="33"/>
      <c r="E70" s="33"/>
      <c r="F70" s="22"/>
    </row>
    <row r="71">
      <c r="B71" s="22"/>
      <c r="C71" s="25" t="s">
        <v>263</v>
      </c>
      <c r="D71" s="31">
        <f>SUM('Cavalry Training VIII'!F18,'Cavalry Training VIII'!F41,'Cavalry Training VIII'!F69,'Cavalry Training VIII'!F102)</f>
        <v>230248</v>
      </c>
      <c r="E71" s="32" t="str">
        <f>ROUND(100 * (
  COUNT('Cavalry Training VIII'!D4:E17) +
  COUNT('Cavalry Training VIII'!D23:E40) +
  COUNT('Cavalry Training VIII'!D46:E68) +
  COUNT('Cavalry Training VIII'!D74:E101)
) / (
  'Cavalry Training VIII'!D18 +
  'Cavalry Training VIII'!D41 +
  'Cavalry Training VIII'!D69 +
  'Cavalry Training VIII'!D102
), 2) &amp; "%"</f>
        <v>100%</v>
      </c>
      <c r="F71" s="22"/>
    </row>
    <row r="72">
      <c r="B72" s="22"/>
      <c r="C72" s="33"/>
      <c r="D72" s="33"/>
      <c r="E72" s="33"/>
      <c r="F72" s="22"/>
    </row>
    <row r="73">
      <c r="B73" s="22"/>
      <c r="C73" s="25" t="s">
        <v>270</v>
      </c>
      <c r="D73" s="31">
        <f>SUM('Archer Training VIII'!F18,'Archer Training VIII'!F41,'Archer Training VIII'!F69,'Archer Training VIII'!F102)</f>
        <v>230248</v>
      </c>
      <c r="E73" s="32" t="str">
        <f>ROUND(100 * (
  COUNT('Archer Training VIII'!D4:E17) +
  COUNT('Archer Training VIII'!D23:E40) +
  COUNT('Archer Training VIII'!D46:E68) +
  COUNT('Archer Training VIII'!D74:E101)
) / (
  'Archer Training VIII'!D18 +
  'Archer Training VIII'!D41 +
  'Archer Training VIII'!D69 +
  'Archer Training VIII'!D102
), 2) &amp; "%"</f>
        <v>100%</v>
      </c>
      <c r="F73" s="22"/>
    </row>
    <row r="74">
      <c r="B74" s="17"/>
      <c r="C74" s="34"/>
      <c r="D74" s="34"/>
      <c r="E74" s="34"/>
      <c r="F74" s="17"/>
    </row>
    <row r="75">
      <c r="B75" s="35"/>
      <c r="C75" s="36"/>
      <c r="D75" s="35"/>
      <c r="E75" s="35"/>
      <c r="F75" s="35"/>
    </row>
    <row r="76">
      <c r="B76" s="18" t="s">
        <v>276</v>
      </c>
      <c r="C76" s="20"/>
      <c r="D76" s="20"/>
      <c r="E76" s="20"/>
      <c r="F76" s="21">
        <f>SUM(D77,D79,D81)</f>
        <v>965978</v>
      </c>
    </row>
    <row r="77">
      <c r="B77" s="22"/>
      <c r="C77" s="25" t="s">
        <v>280</v>
      </c>
      <c r="D77" s="31">
        <f>SUM('Footman Training IX'!F18,'Footman Training IX'!F41,'Footman Training IX'!F71,'Footman Training IX'!F98)</f>
        <v>321993</v>
      </c>
      <c r="E77" s="32" t="str">
        <f>ROUND(100 * (
  COUNT('Footman Training IX'!D4:E17) +
  COUNT('Footman Training IX'!D23:E40) +
  COUNT('Footman Training IX'!D46:E70) +
  COUNT('Footman Training IX'!D76:E97)
) / (
  'Footman Training IX'!D18 +
  'Footman Training IX'!D41 +
  'Footman Training IX'!D71 +
  'Footman Training IX'!D98
), 2) &amp; "%"</f>
        <v>100%</v>
      </c>
      <c r="F77" s="22"/>
    </row>
    <row r="78">
      <c r="B78" s="22"/>
      <c r="C78" s="33"/>
      <c r="D78" s="33"/>
      <c r="E78" s="33"/>
      <c r="F78" s="22"/>
    </row>
    <row r="79">
      <c r="B79" s="22"/>
      <c r="C79" s="25" t="s">
        <v>286</v>
      </c>
      <c r="D79" s="31">
        <f>SUM('Cavalry Training IX'!F18,'Cavalry Training IX'!F41,'Cavalry Training IX'!F71,'Cavalry Training IX'!F98)</f>
        <v>321993</v>
      </c>
      <c r="E79" s="32" t="str">
        <f>ROUND(100 * (
  COUNT('Cavalry Training IX'!D4:E17) +
  COUNT('Cavalry Training IX'!D23:E40) +
  COUNT('Cavalry Training IX'!D46:E70) +
  COUNT('Cavalry Training IX'!D76:E97)
) / (
  'Cavalry Training IX'!D18 +
  'Cavalry Training IX'!D41 +
  'Cavalry Training IX'!D71 +
  'Cavalry Training IX'!D98
), 2) &amp; "%"</f>
        <v>100%</v>
      </c>
      <c r="F79" s="22"/>
    </row>
    <row r="80">
      <c r="B80" s="22"/>
      <c r="C80" s="33"/>
      <c r="D80" s="33"/>
      <c r="E80" s="33"/>
      <c r="F80" s="22"/>
    </row>
    <row r="81">
      <c r="B81" s="22"/>
      <c r="C81" s="25" t="s">
        <v>290</v>
      </c>
      <c r="D81" s="31">
        <f>SUM('Archer Training IX'!F18,'Archer Training IX'!F41,'Archer Training IX'!F71,'Archer Training IX'!F98)</f>
        <v>321992</v>
      </c>
      <c r="E81" s="32" t="str">
        <f>ROUND(100 * (
  COUNT('Archer Training IX'!D4:E17) +
  COUNT('Archer Training IX'!D23:E40) +
  COUNT('Archer Training IX'!D46:E70) +
  COUNT('Archer Training IX'!D76:E97)
) / (
  'Archer Training IX'!D18 +
  'Archer Training IX'!D41 +
  'Archer Training IX'!D71 +
  'Archer Training IX'!D98
), 2) &amp; "%"</f>
        <v>100%</v>
      </c>
      <c r="F81" s="22"/>
    </row>
    <row r="82">
      <c r="B82" s="17"/>
      <c r="C82" s="34"/>
      <c r="D82" s="34"/>
      <c r="E82" s="34"/>
      <c r="F82" s="17"/>
    </row>
    <row r="83">
      <c r="B83" s="35"/>
      <c r="C83" s="36"/>
      <c r="D83" s="35"/>
      <c r="E83" s="35"/>
      <c r="F83" s="35"/>
    </row>
    <row r="84">
      <c r="B84" s="18" t="s">
        <v>291</v>
      </c>
      <c r="C84" s="20"/>
      <c r="D84" s="20"/>
      <c r="E84" s="20"/>
      <c r="F84" s="21">
        <f>SUM(D85,D87,D89)</f>
        <v>1020021</v>
      </c>
    </row>
    <row r="85">
      <c r="B85" s="22"/>
      <c r="C85" s="25" t="s">
        <v>292</v>
      </c>
      <c r="D85" s="31">
        <f>SUM('Footman Training X'!F20,'Footman Training X'!F45,'Footman Training X'!F84,'Footman Training X'!F120)</f>
        <v>340007</v>
      </c>
      <c r="E85" s="32" t="str">
        <f>ROUND(100 * (
  COUNT('Footman Training X'!D4:E19) +
  COUNT('Footman Training X'!D25:E44) +
  COUNT('Footman Training X'!D50:E83) +
  COUNT('Footman Training X'!D89:E119)
) / (
  'Footman Training X'!D20 +
  'Footman Training X'!D45 +
  'Footman Training X'!D84 +
  'Footman Training X'!D120
), 2) &amp; "%"</f>
        <v>100%</v>
      </c>
      <c r="F85" s="22"/>
    </row>
    <row r="86">
      <c r="B86" s="22"/>
      <c r="C86" s="33"/>
      <c r="D86" s="33"/>
      <c r="E86" s="33"/>
      <c r="F86" s="22"/>
    </row>
    <row r="87">
      <c r="B87" s="22"/>
      <c r="C87" s="25" t="s">
        <v>296</v>
      </c>
      <c r="D87" s="31">
        <f>SUM('Cavalry Training X'!F20,'Cavalry Training X'!F45,'Cavalry Training X'!F84,'Cavalry Training X'!F120)</f>
        <v>340007</v>
      </c>
      <c r="E87" s="32" t="str">
        <f>ROUND(100 * (
  COUNT('Cavalry Training X'!D4:E19) +
  COUNT('Cavalry Training X'!D25:E44) +
  COUNT('Cavalry Training X'!D50:E83) +
  COUNT('Cavalry Training X'!D89:E119)
) / (
  'Cavalry Training X'!D20 +
  'Cavalry Training X'!D45 +
  'Cavalry Training X'!D84 +
  'Cavalry Training X'!D120
), 2) &amp; "%"</f>
        <v>100%</v>
      </c>
      <c r="F87" s="22"/>
    </row>
    <row r="88">
      <c r="B88" s="22"/>
      <c r="C88" s="33"/>
      <c r="D88" s="33"/>
      <c r="E88" s="33"/>
      <c r="F88" s="22"/>
    </row>
    <row r="89">
      <c r="B89" s="22"/>
      <c r="C89" s="25" t="s">
        <v>298</v>
      </c>
      <c r="D89" s="31">
        <f>SUM('Archer Training X'!F20,'Archer Training X'!F45,'Archer Training X'!F84,'Archer Training X'!F120)</f>
        <v>340007</v>
      </c>
      <c r="E89" s="32" t="str">
        <f>ROUND(100 * (
  COUNT('Archer Training X'!D4:E19) +
  COUNT('Archer Training X'!D25:E44) +
  COUNT('Archer Training X'!D50:E83) +
  COUNT('Archer Training X'!D89:E119)
) / (
  'Archer Training X'!D20 +
  'Archer Training X'!D45 +
  'Archer Training X'!D84 +
  'Archer Training X'!D120
), 2) &amp; "%"</f>
        <v>100%</v>
      </c>
      <c r="F89" s="22"/>
    </row>
    <row r="90">
      <c r="B90" s="17"/>
      <c r="C90" s="34"/>
      <c r="D90" s="34"/>
      <c r="E90" s="34"/>
      <c r="F90" s="17"/>
    </row>
    <row r="91">
      <c r="B91" s="35"/>
      <c r="C91" s="35"/>
      <c r="D91" s="35"/>
      <c r="E91" s="35"/>
      <c r="F91" s="35"/>
    </row>
    <row r="92">
      <c r="B92" s="18" t="s">
        <v>20</v>
      </c>
      <c r="F92" s="21">
        <f>SUM(D93,D95,D97)</f>
        <v>4156916</v>
      </c>
    </row>
    <row r="93">
      <c r="B93" s="22"/>
      <c r="C93" s="37" t="s">
        <v>301</v>
      </c>
      <c r="D93" s="31">
        <f>SUM(D13,D21,D29,D37,D45,D53,D61,D69,D77,D85)</f>
        <v>1385639</v>
      </c>
      <c r="E93" s="31"/>
      <c r="F93" s="22"/>
    </row>
    <row r="94">
      <c r="B94" s="22"/>
      <c r="C94" s="38"/>
      <c r="D94" s="39"/>
      <c r="E94" s="39"/>
      <c r="F94" s="22"/>
    </row>
    <row r="95">
      <c r="B95" s="22"/>
      <c r="C95" s="37" t="s">
        <v>302</v>
      </c>
      <c r="D95" s="31">
        <f>SUM(D15,D23,D31,D39,D47,D55,D63,D71,D79,D87)</f>
        <v>1385639</v>
      </c>
      <c r="E95" s="31"/>
      <c r="F95" s="22"/>
    </row>
    <row r="96">
      <c r="B96" s="22"/>
      <c r="C96" s="38"/>
      <c r="D96" s="39"/>
      <c r="E96" s="39"/>
      <c r="F96" s="22"/>
    </row>
    <row r="97">
      <c r="B97" s="22"/>
      <c r="C97" s="37" t="s">
        <v>305</v>
      </c>
      <c r="D97" s="31">
        <f>SUM(D17,D25,D33,D41,D49,D57,D65,D73,D81,D89)</f>
        <v>1385638</v>
      </c>
      <c r="E97" s="31"/>
      <c r="F97" s="22"/>
    </row>
    <row r="98">
      <c r="B98" s="17"/>
      <c r="F98" s="17"/>
    </row>
    <row r="99">
      <c r="B99" s="35"/>
      <c r="C99" s="35"/>
      <c r="D99" s="35"/>
      <c r="E99" s="35"/>
      <c r="F99" s="35"/>
    </row>
  </sheetData>
  <mergeCells count="30">
    <mergeCell ref="B1:F2"/>
    <mergeCell ref="B3:F5"/>
    <mergeCell ref="B7:F8"/>
    <mergeCell ref="C10:C11"/>
    <mergeCell ref="D10:D11"/>
    <mergeCell ref="E10:E11"/>
    <mergeCell ref="F10:F11"/>
    <mergeCell ref="B60:B66"/>
    <mergeCell ref="B68:B74"/>
    <mergeCell ref="B76:B82"/>
    <mergeCell ref="B84:B90"/>
    <mergeCell ref="B92:B98"/>
    <mergeCell ref="B10:B11"/>
    <mergeCell ref="B12:B18"/>
    <mergeCell ref="B20:B26"/>
    <mergeCell ref="B28:B34"/>
    <mergeCell ref="B36:B42"/>
    <mergeCell ref="B44:B50"/>
    <mergeCell ref="B52:B58"/>
    <mergeCell ref="F68:F74"/>
    <mergeCell ref="F76:F82"/>
    <mergeCell ref="F84:F90"/>
    <mergeCell ref="F92:F98"/>
    <mergeCell ref="F12:F18"/>
    <mergeCell ref="F20:F26"/>
    <mergeCell ref="F28:F34"/>
    <mergeCell ref="F36:F42"/>
    <mergeCell ref="F44:F50"/>
    <mergeCell ref="F52:F58"/>
    <mergeCell ref="F60:F66"/>
  </mergeCells>
  <hyperlinks>
    <hyperlink r:id="rId1" ref="B3"/>
    <hyperlink r:id="rId2" ref="B7"/>
    <hyperlink display="Footman Training I" location="'Footman Training I'!A1" ref="C13"/>
    <hyperlink display="Cavalry Training I" location="'Cavalry Training I'!A1" ref="C15"/>
    <hyperlink display="Archer Training I" location="'Archer Training I'!A1" ref="C17"/>
    <hyperlink display="Footman Training II" location="'Footman Training II'!A1" ref="C21"/>
    <hyperlink display="Cavalry Training II" location="'Cavalry Training II'!A1" ref="C23"/>
    <hyperlink display="Archer Training II" location="'Archer Training II'!A1" ref="C25"/>
    <hyperlink display="Footman Training III" location="'Footman Training III'!A1" ref="C29"/>
    <hyperlink display="Cavalry Training III" location="'Cavalry Training III'!A1" ref="C31"/>
    <hyperlink display="Archer Training III" location="'Archer Training III'!A1" ref="C33"/>
    <hyperlink display="Footman Training IV" location="'Footman Training IV'!A1" ref="C37"/>
    <hyperlink display="Cavalry Training IV" location="'Cavalry Training IV'!A1" ref="C39"/>
    <hyperlink display="Archer Training IV" location="'Archer Training IV'!A1" ref="C41"/>
    <hyperlink display="Footman Training V" location="'Footman Training V'!A1" ref="C45"/>
    <hyperlink display="Cavalry Training V" location="'Cavalry Training V'!A1" ref="C47"/>
    <hyperlink display="Archer Training V" location="'Archer Training V'!A1" ref="C49"/>
    <hyperlink display="Footman Training VI" location="'Footman Training VI'!A1" ref="C53"/>
    <hyperlink display="Cavalry Training VI" location="'Cavalry Training VI'!A1" ref="C55"/>
    <hyperlink display="Archer Training VI" location="'Archer Training VI'!A1" ref="C57"/>
    <hyperlink display="Footman Training VII" location="'Footman Training VII'!A1" ref="C61"/>
    <hyperlink display="Cavalry Training VII" location="'Cavalry Training VII'!A1" ref="C63"/>
    <hyperlink display="Archer Training VII" location="'Archer Training VII'!A1" ref="C65"/>
    <hyperlink display="Footman Training VIII" location="'Footman Training VIII'!A1" ref="C69"/>
    <hyperlink display="Cavalry Training VIII" location="'Cavalry Training VIII'!A1" ref="C71"/>
    <hyperlink display="Archer Training VIII" location="'Archer Training VIII'!A1" ref="C73"/>
    <hyperlink display="Footman Training IX" location="'Footman Training IX'!A1" ref="C77"/>
    <hyperlink display="Cavalry Training IX" location="'Cavalry Training IX'!A1" ref="C79"/>
    <hyperlink display="Archer Training IX" location="'Archer Training IX'!A1" ref="C81"/>
    <hyperlink display="Footman Training X" location="'Footman Training X'!A1" ref="C85"/>
    <hyperlink display="Cavalry Training X" location="'Cavalry Training X'!A1" ref="C87"/>
    <hyperlink display="Archer Training X" location="'Archer Training X'!A1" ref="C89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8.71"/>
    <col customWidth="1" min="3" max="3" width="58.86"/>
    <col customWidth="1" min="4" max="5" width="7.14"/>
    <col customWidth="1" min="6" max="6" width="6.57"/>
    <col customWidth="1" min="7" max="7" width="8.57"/>
  </cols>
  <sheetData>
    <row r="1">
      <c r="A1" s="4" t="s">
        <v>5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12</v>
      </c>
      <c r="C4" s="13" t="s">
        <v>15</v>
      </c>
      <c r="D4" s="14">
        <v>73.0</v>
      </c>
      <c r="E4" s="16"/>
      <c r="F4" s="14">
        <f t="shared" ref="F4:F14" si="1">SUM(D4:E4)</f>
        <v>73</v>
      </c>
      <c r="G4" s="19">
        <f>F4</f>
        <v>73</v>
      </c>
    </row>
    <row r="5">
      <c r="A5" s="12">
        <v>2.0</v>
      </c>
      <c r="B5" s="12" t="s">
        <v>22</v>
      </c>
      <c r="C5" s="13" t="s">
        <v>24</v>
      </c>
      <c r="D5" s="14">
        <v>76.0</v>
      </c>
      <c r="E5" s="16"/>
      <c r="F5" s="14">
        <f t="shared" si="1"/>
        <v>76</v>
      </c>
      <c r="G5" s="19">
        <f t="shared" ref="G5:G14" si="2">G4+F5</f>
        <v>149</v>
      </c>
    </row>
    <row r="6">
      <c r="A6" s="12">
        <v>3.0</v>
      </c>
      <c r="B6" s="12" t="s">
        <v>12</v>
      </c>
      <c r="C6" s="13" t="s">
        <v>15</v>
      </c>
      <c r="D6" s="14">
        <v>80.0</v>
      </c>
      <c r="E6" s="16"/>
      <c r="F6" s="14">
        <f t="shared" si="1"/>
        <v>80</v>
      </c>
      <c r="G6" s="19">
        <f t="shared" si="2"/>
        <v>229</v>
      </c>
    </row>
    <row r="7">
      <c r="A7" s="12">
        <v>4.0</v>
      </c>
      <c r="B7" s="12" t="s">
        <v>25</v>
      </c>
      <c r="C7" s="13" t="s">
        <v>30</v>
      </c>
      <c r="D7" s="14">
        <v>84.0</v>
      </c>
      <c r="E7" s="16"/>
      <c r="F7" s="14">
        <f t="shared" si="1"/>
        <v>84</v>
      </c>
      <c r="G7" s="19">
        <f t="shared" si="2"/>
        <v>313</v>
      </c>
    </row>
    <row r="8">
      <c r="A8" s="12">
        <v>5.0</v>
      </c>
      <c r="B8" s="12" t="s">
        <v>28</v>
      </c>
      <c r="C8" s="13" t="s">
        <v>31</v>
      </c>
      <c r="D8" s="14">
        <v>151.0</v>
      </c>
      <c r="E8" s="14">
        <v>158.0</v>
      </c>
      <c r="F8" s="14">
        <f t="shared" si="1"/>
        <v>309</v>
      </c>
      <c r="G8" s="19">
        <f t="shared" si="2"/>
        <v>622</v>
      </c>
    </row>
    <row r="9">
      <c r="A9" s="12">
        <v>6.0</v>
      </c>
      <c r="B9" s="12" t="s">
        <v>25</v>
      </c>
      <c r="C9" s="13" t="s">
        <v>30</v>
      </c>
      <c r="D9" s="14">
        <v>93.0</v>
      </c>
      <c r="E9" s="16"/>
      <c r="F9" s="14">
        <f t="shared" si="1"/>
        <v>93</v>
      </c>
      <c r="G9" s="19">
        <f t="shared" si="2"/>
        <v>715</v>
      </c>
    </row>
    <row r="10">
      <c r="A10" s="12">
        <v>7.0</v>
      </c>
      <c r="B10" s="12" t="s">
        <v>12</v>
      </c>
      <c r="C10" s="13" t="s">
        <v>15</v>
      </c>
      <c r="D10" s="14">
        <v>98.0</v>
      </c>
      <c r="E10" s="16"/>
      <c r="F10" s="14">
        <f t="shared" si="1"/>
        <v>98</v>
      </c>
      <c r="G10" s="19">
        <f t="shared" si="2"/>
        <v>813</v>
      </c>
    </row>
    <row r="11">
      <c r="A11" s="12">
        <v>8.0</v>
      </c>
      <c r="B11" s="12" t="s">
        <v>22</v>
      </c>
      <c r="C11" s="13" t="s">
        <v>24</v>
      </c>
      <c r="D11" s="14">
        <v>103.0</v>
      </c>
      <c r="E11" s="16"/>
      <c r="F11" s="14">
        <f t="shared" si="1"/>
        <v>103</v>
      </c>
      <c r="G11" s="19">
        <f t="shared" si="2"/>
        <v>916</v>
      </c>
    </row>
    <row r="12">
      <c r="A12" s="12">
        <v>9.0</v>
      </c>
      <c r="B12" s="12" t="s">
        <v>25</v>
      </c>
      <c r="C12" s="13" t="s">
        <v>30</v>
      </c>
      <c r="D12" s="14">
        <v>108.0</v>
      </c>
      <c r="E12" s="16"/>
      <c r="F12" s="14">
        <f t="shared" si="1"/>
        <v>108</v>
      </c>
      <c r="G12" s="19">
        <f t="shared" si="2"/>
        <v>1024</v>
      </c>
    </row>
    <row r="13">
      <c r="A13" s="12">
        <v>10.0</v>
      </c>
      <c r="B13" s="12" t="s">
        <v>22</v>
      </c>
      <c r="C13" s="13" t="s">
        <v>24</v>
      </c>
      <c r="D13" s="14">
        <v>113.0</v>
      </c>
      <c r="E13" s="16"/>
      <c r="F13" s="14">
        <f t="shared" si="1"/>
        <v>113</v>
      </c>
      <c r="G13" s="19">
        <f t="shared" si="2"/>
        <v>1137</v>
      </c>
    </row>
    <row r="14">
      <c r="A14" s="12">
        <v>11.0</v>
      </c>
      <c r="B14" s="12" t="s">
        <v>36</v>
      </c>
      <c r="C14" s="23" t="s">
        <v>37</v>
      </c>
      <c r="D14" s="14">
        <v>537.0</v>
      </c>
      <c r="E14" s="16"/>
      <c r="F14" s="14">
        <f t="shared" si="1"/>
        <v>537</v>
      </c>
      <c r="G14" s="19">
        <f t="shared" si="2"/>
        <v>1674</v>
      </c>
    </row>
    <row r="15">
      <c r="A15" s="24"/>
      <c r="B15" s="24"/>
      <c r="C15" s="26"/>
      <c r="D15" s="27">
        <v>12.0</v>
      </c>
      <c r="E15" s="28"/>
      <c r="F15" s="27">
        <f>SUM(F4:F14)</f>
        <v>1674</v>
      </c>
      <c r="G15" s="29">
        <f>G14</f>
        <v>1674</v>
      </c>
    </row>
    <row r="16">
      <c r="C16" s="30"/>
      <c r="G16" s="30"/>
    </row>
    <row r="17">
      <c r="A17" s="4" t="s">
        <v>38</v>
      </c>
      <c r="B17" s="5"/>
      <c r="C17" s="5"/>
      <c r="D17" s="5"/>
      <c r="E17" s="5"/>
      <c r="F17" s="5"/>
      <c r="G17" s="6"/>
    </row>
    <row r="18">
      <c r="A18" s="7"/>
      <c r="B18" s="8"/>
      <c r="C18" s="8"/>
      <c r="D18" s="8"/>
      <c r="E18" s="8"/>
      <c r="F18" s="8"/>
      <c r="G18" s="9"/>
    </row>
    <row r="19">
      <c r="A19" s="10"/>
      <c r="B19" s="10" t="s">
        <v>6</v>
      </c>
      <c r="C19" s="11" t="s">
        <v>7</v>
      </c>
      <c r="D19" s="10" t="s">
        <v>8</v>
      </c>
      <c r="E19" s="10" t="s">
        <v>9</v>
      </c>
      <c r="F19" s="10" t="s">
        <v>10</v>
      </c>
      <c r="G19" s="11" t="s">
        <v>11</v>
      </c>
    </row>
    <row r="20">
      <c r="A20" s="12">
        <v>1.0</v>
      </c>
      <c r="B20" s="12" t="s">
        <v>40</v>
      </c>
      <c r="C20" s="13" t="s">
        <v>49</v>
      </c>
      <c r="D20" s="14">
        <v>112.0</v>
      </c>
      <c r="E20" s="16"/>
      <c r="F20" s="14">
        <f t="shared" ref="F20:F33" si="3">SUM(D20:E20)</f>
        <v>112</v>
      </c>
      <c r="G20" s="19">
        <f>F20</f>
        <v>112</v>
      </c>
    </row>
    <row r="21">
      <c r="A21" s="12">
        <v>2.0</v>
      </c>
      <c r="B21" s="12" t="s">
        <v>43</v>
      </c>
      <c r="C21" s="13" t="s">
        <v>50</v>
      </c>
      <c r="D21" s="14">
        <v>112.0</v>
      </c>
      <c r="E21" s="16"/>
      <c r="F21" s="14">
        <f t="shared" si="3"/>
        <v>112</v>
      </c>
      <c r="G21" s="19">
        <f t="shared" ref="G21:G33" si="4">G20+F21</f>
        <v>224</v>
      </c>
    </row>
    <row r="22">
      <c r="A22" s="12">
        <v>3.0</v>
      </c>
      <c r="B22" s="12" t="s">
        <v>45</v>
      </c>
      <c r="C22" s="13" t="s">
        <v>53</v>
      </c>
      <c r="D22" s="14">
        <v>200.0</v>
      </c>
      <c r="E22" s="14">
        <v>210.0</v>
      </c>
      <c r="F22" s="14">
        <f t="shared" si="3"/>
        <v>410</v>
      </c>
      <c r="G22" s="19">
        <f t="shared" si="4"/>
        <v>634</v>
      </c>
    </row>
    <row r="23">
      <c r="A23" s="12">
        <v>4.0</v>
      </c>
      <c r="B23" s="12" t="s">
        <v>40</v>
      </c>
      <c r="C23" s="13" t="s">
        <v>49</v>
      </c>
      <c r="D23" s="14">
        <v>124.0</v>
      </c>
      <c r="E23" s="16"/>
      <c r="F23" s="14">
        <f t="shared" si="3"/>
        <v>124</v>
      </c>
      <c r="G23" s="19">
        <f t="shared" si="4"/>
        <v>758</v>
      </c>
    </row>
    <row r="24">
      <c r="A24" s="12">
        <v>5.0</v>
      </c>
      <c r="B24" s="12" t="s">
        <v>40</v>
      </c>
      <c r="C24" s="13" t="s">
        <v>49</v>
      </c>
      <c r="D24" s="14">
        <v>130.0</v>
      </c>
      <c r="E24" s="16"/>
      <c r="F24" s="14">
        <f t="shared" si="3"/>
        <v>130</v>
      </c>
      <c r="G24" s="19">
        <f t="shared" si="4"/>
        <v>888</v>
      </c>
    </row>
    <row r="25">
      <c r="A25" s="12">
        <v>6.0</v>
      </c>
      <c r="B25" s="12" t="s">
        <v>47</v>
      </c>
      <c r="C25" s="13" t="s">
        <v>57</v>
      </c>
      <c r="D25" s="14">
        <v>136.0</v>
      </c>
      <c r="E25" s="16"/>
      <c r="F25" s="14">
        <f t="shared" si="3"/>
        <v>136</v>
      </c>
      <c r="G25" s="19">
        <f t="shared" si="4"/>
        <v>1024</v>
      </c>
    </row>
    <row r="26">
      <c r="A26" s="12">
        <v>7.0</v>
      </c>
      <c r="B26" s="12" t="s">
        <v>40</v>
      </c>
      <c r="C26" s="13" t="s">
        <v>49</v>
      </c>
      <c r="D26" s="14">
        <v>143.0</v>
      </c>
      <c r="E26" s="16"/>
      <c r="F26" s="14">
        <f t="shared" si="3"/>
        <v>143</v>
      </c>
      <c r="G26" s="19">
        <f t="shared" si="4"/>
        <v>1167</v>
      </c>
    </row>
    <row r="27">
      <c r="A27" s="12">
        <v>8.0</v>
      </c>
      <c r="B27" s="12" t="s">
        <v>40</v>
      </c>
      <c r="C27" s="13" t="s">
        <v>49</v>
      </c>
      <c r="D27" s="14">
        <v>150.0</v>
      </c>
      <c r="E27" s="16"/>
      <c r="F27" s="14">
        <f t="shared" si="3"/>
        <v>150</v>
      </c>
      <c r="G27" s="19">
        <f t="shared" si="4"/>
        <v>1317</v>
      </c>
    </row>
    <row r="28">
      <c r="A28" s="12">
        <v>9.0</v>
      </c>
      <c r="B28" s="12" t="s">
        <v>43</v>
      </c>
      <c r="C28" s="13" t="s">
        <v>50</v>
      </c>
      <c r="D28" s="14">
        <v>124.0</v>
      </c>
      <c r="E28" s="16"/>
      <c r="F28" s="14">
        <f t="shared" si="3"/>
        <v>124</v>
      </c>
      <c r="G28" s="19">
        <f t="shared" si="4"/>
        <v>1441</v>
      </c>
    </row>
    <row r="29">
      <c r="A29" s="12">
        <v>10.0</v>
      </c>
      <c r="B29" s="12" t="s">
        <v>43</v>
      </c>
      <c r="C29" s="13" t="s">
        <v>50</v>
      </c>
      <c r="D29" s="14">
        <v>130.0</v>
      </c>
      <c r="E29" s="16"/>
      <c r="F29" s="14">
        <f t="shared" si="3"/>
        <v>130</v>
      </c>
      <c r="G29" s="19">
        <f t="shared" si="4"/>
        <v>1571</v>
      </c>
    </row>
    <row r="30">
      <c r="A30" s="12">
        <v>11.0</v>
      </c>
      <c r="B30" s="12" t="s">
        <v>51</v>
      </c>
      <c r="C30" s="13" t="s">
        <v>63</v>
      </c>
      <c r="D30" s="14">
        <v>136.0</v>
      </c>
      <c r="E30" s="16"/>
      <c r="F30" s="14">
        <f t="shared" si="3"/>
        <v>136</v>
      </c>
      <c r="G30" s="19">
        <f t="shared" si="4"/>
        <v>1707</v>
      </c>
    </row>
    <row r="31">
      <c r="A31" s="12">
        <v>12.0</v>
      </c>
      <c r="B31" s="12" t="s">
        <v>43</v>
      </c>
      <c r="C31" s="13" t="s">
        <v>50</v>
      </c>
      <c r="D31" s="14">
        <v>143.0</v>
      </c>
      <c r="E31" s="16"/>
      <c r="F31" s="14">
        <f t="shared" si="3"/>
        <v>143</v>
      </c>
      <c r="G31" s="19">
        <f t="shared" si="4"/>
        <v>1850</v>
      </c>
    </row>
    <row r="32">
      <c r="A32" s="12">
        <v>13.0</v>
      </c>
      <c r="B32" s="12" t="s">
        <v>43</v>
      </c>
      <c r="C32" s="13" t="s">
        <v>50</v>
      </c>
      <c r="D32" s="14">
        <v>150.0</v>
      </c>
      <c r="E32" s="16"/>
      <c r="F32" s="14">
        <f t="shared" si="3"/>
        <v>150</v>
      </c>
      <c r="G32" s="19">
        <f t="shared" si="4"/>
        <v>2000</v>
      </c>
    </row>
    <row r="33">
      <c r="A33" s="12">
        <v>14.0</v>
      </c>
      <c r="B33" s="12" t="s">
        <v>55</v>
      </c>
      <c r="C33" s="13" t="s">
        <v>65</v>
      </c>
      <c r="D33" s="14">
        <v>712.0</v>
      </c>
      <c r="E33" s="16"/>
      <c r="F33" s="14">
        <f t="shared" si="3"/>
        <v>712</v>
      </c>
      <c r="G33" s="19">
        <f t="shared" si="4"/>
        <v>2712</v>
      </c>
    </row>
    <row r="34">
      <c r="A34" s="24"/>
      <c r="B34" s="24"/>
      <c r="C34" s="26"/>
      <c r="D34" s="27">
        <v>15.0</v>
      </c>
      <c r="E34" s="28"/>
      <c r="F34" s="27">
        <f>SUM(F20:F33)</f>
        <v>2712</v>
      </c>
      <c r="G34" s="29">
        <f>G33</f>
        <v>2712</v>
      </c>
    </row>
    <row r="35">
      <c r="C35" s="30"/>
      <c r="G35" s="30"/>
    </row>
    <row r="36">
      <c r="A36" s="4" t="s">
        <v>58</v>
      </c>
      <c r="B36" s="5"/>
      <c r="C36" s="5"/>
      <c r="D36" s="5"/>
      <c r="E36" s="5"/>
      <c r="F36" s="5"/>
      <c r="G36" s="6"/>
    </row>
    <row r="37">
      <c r="A37" s="7"/>
      <c r="B37" s="8"/>
      <c r="C37" s="8"/>
      <c r="D37" s="8"/>
      <c r="E37" s="8"/>
      <c r="F37" s="8"/>
      <c r="G37" s="9"/>
    </row>
    <row r="38">
      <c r="A38" s="10"/>
      <c r="B38" s="10" t="s">
        <v>6</v>
      </c>
      <c r="C38" s="11" t="s">
        <v>7</v>
      </c>
      <c r="D38" s="10" t="s">
        <v>8</v>
      </c>
      <c r="E38" s="10" t="s">
        <v>9</v>
      </c>
      <c r="F38" s="10" t="s">
        <v>10</v>
      </c>
      <c r="G38" s="11" t="s">
        <v>11</v>
      </c>
    </row>
    <row r="39">
      <c r="A39" s="12">
        <v>1.0</v>
      </c>
      <c r="B39" s="12" t="s">
        <v>60</v>
      </c>
      <c r="C39" s="13" t="s">
        <v>74</v>
      </c>
      <c r="D39" s="14">
        <v>157.0</v>
      </c>
      <c r="E39" s="16"/>
      <c r="F39" s="14">
        <f t="shared" ref="F39:F55" si="5">SUM(D39:E39)</f>
        <v>157</v>
      </c>
      <c r="G39" s="19">
        <f>F39</f>
        <v>157</v>
      </c>
    </row>
    <row r="40">
      <c r="A40" s="12">
        <v>2.0</v>
      </c>
      <c r="B40" s="12" t="s">
        <v>60</v>
      </c>
      <c r="C40" s="13" t="s">
        <v>74</v>
      </c>
      <c r="D40" s="14">
        <v>165.0</v>
      </c>
      <c r="E40" s="16"/>
      <c r="F40" s="14">
        <f t="shared" si="5"/>
        <v>165</v>
      </c>
      <c r="G40" s="19">
        <f t="shared" ref="G40:G55" si="6">G39+F40</f>
        <v>322</v>
      </c>
    </row>
    <row r="41">
      <c r="A41" s="12">
        <v>3.0</v>
      </c>
      <c r="B41" s="12" t="s">
        <v>60</v>
      </c>
      <c r="C41" s="13" t="s">
        <v>74</v>
      </c>
      <c r="D41" s="14">
        <v>173.0</v>
      </c>
      <c r="E41" s="16"/>
      <c r="F41" s="14">
        <f t="shared" si="5"/>
        <v>173</v>
      </c>
      <c r="G41" s="19">
        <f t="shared" si="6"/>
        <v>495</v>
      </c>
    </row>
    <row r="42">
      <c r="A42" s="12">
        <v>4.0</v>
      </c>
      <c r="B42" s="12" t="s">
        <v>64</v>
      </c>
      <c r="C42" s="13" t="s">
        <v>82</v>
      </c>
      <c r="D42" s="14">
        <v>182.0</v>
      </c>
      <c r="E42" s="16"/>
      <c r="F42" s="14">
        <f t="shared" si="5"/>
        <v>182</v>
      </c>
      <c r="G42" s="19">
        <f t="shared" si="6"/>
        <v>677</v>
      </c>
    </row>
    <row r="43">
      <c r="A43" s="12">
        <v>5.0</v>
      </c>
      <c r="B43" s="12" t="s">
        <v>67</v>
      </c>
      <c r="C43" s="13" t="s">
        <v>85</v>
      </c>
      <c r="D43" s="14">
        <v>157.0</v>
      </c>
      <c r="E43" s="16"/>
      <c r="F43" s="14">
        <f t="shared" si="5"/>
        <v>157</v>
      </c>
      <c r="G43" s="19">
        <f t="shared" si="6"/>
        <v>834</v>
      </c>
    </row>
    <row r="44">
      <c r="A44" s="12">
        <v>6.0</v>
      </c>
      <c r="B44" s="12" t="s">
        <v>67</v>
      </c>
      <c r="C44" s="13" t="s">
        <v>85</v>
      </c>
      <c r="D44" s="14">
        <v>165.0</v>
      </c>
      <c r="E44" s="16"/>
      <c r="F44" s="14">
        <f t="shared" si="5"/>
        <v>165</v>
      </c>
      <c r="G44" s="19">
        <f t="shared" si="6"/>
        <v>999</v>
      </c>
    </row>
    <row r="45">
      <c r="A45" s="12">
        <v>7.0</v>
      </c>
      <c r="B45" s="12" t="s">
        <v>67</v>
      </c>
      <c r="C45" s="13" t="s">
        <v>85</v>
      </c>
      <c r="D45" s="14">
        <v>173.0</v>
      </c>
      <c r="E45" s="16"/>
      <c r="F45" s="14">
        <f t="shared" si="5"/>
        <v>173</v>
      </c>
      <c r="G45" s="19">
        <f t="shared" si="6"/>
        <v>1172</v>
      </c>
    </row>
    <row r="46">
      <c r="A46" s="12">
        <v>8.0</v>
      </c>
      <c r="B46" s="12" t="s">
        <v>70</v>
      </c>
      <c r="C46" s="13" t="s">
        <v>90</v>
      </c>
      <c r="D46" s="14">
        <v>309.0</v>
      </c>
      <c r="E46" s="14">
        <v>325.0</v>
      </c>
      <c r="F46" s="14">
        <f t="shared" si="5"/>
        <v>634</v>
      </c>
      <c r="G46" s="19">
        <f t="shared" si="6"/>
        <v>1806</v>
      </c>
    </row>
    <row r="47">
      <c r="A47" s="12">
        <v>9.0</v>
      </c>
      <c r="B47" s="12" t="s">
        <v>72</v>
      </c>
      <c r="C47" s="13" t="s">
        <v>91</v>
      </c>
      <c r="D47" s="14">
        <v>157.0</v>
      </c>
      <c r="E47" s="16"/>
      <c r="F47" s="14">
        <f t="shared" si="5"/>
        <v>157</v>
      </c>
      <c r="G47" s="19">
        <f t="shared" si="6"/>
        <v>1963</v>
      </c>
    </row>
    <row r="48">
      <c r="A48" s="12">
        <v>10.0</v>
      </c>
      <c r="B48" s="12" t="s">
        <v>72</v>
      </c>
      <c r="C48" s="13" t="s">
        <v>91</v>
      </c>
      <c r="D48" s="14">
        <v>165.0</v>
      </c>
      <c r="E48" s="16"/>
      <c r="F48" s="14">
        <f t="shared" si="5"/>
        <v>165</v>
      </c>
      <c r="G48" s="19">
        <f t="shared" si="6"/>
        <v>2128</v>
      </c>
    </row>
    <row r="49">
      <c r="A49" s="12">
        <v>11.0</v>
      </c>
      <c r="B49" s="12" t="s">
        <v>72</v>
      </c>
      <c r="C49" s="13" t="s">
        <v>91</v>
      </c>
      <c r="D49" s="14">
        <v>173.0</v>
      </c>
      <c r="E49" s="16"/>
      <c r="F49" s="14">
        <f t="shared" si="5"/>
        <v>173</v>
      </c>
      <c r="G49" s="19">
        <f t="shared" si="6"/>
        <v>2301</v>
      </c>
    </row>
    <row r="50">
      <c r="A50" s="12">
        <v>12.0</v>
      </c>
      <c r="B50" s="12" t="s">
        <v>75</v>
      </c>
      <c r="C50" s="13" t="s">
        <v>95</v>
      </c>
      <c r="D50" s="14">
        <v>182.0</v>
      </c>
      <c r="E50" s="16"/>
      <c r="F50" s="14">
        <f t="shared" si="5"/>
        <v>182</v>
      </c>
      <c r="G50" s="19">
        <f t="shared" si="6"/>
        <v>2483</v>
      </c>
    </row>
    <row r="51">
      <c r="A51" s="12">
        <v>13.0</v>
      </c>
      <c r="B51" s="12" t="s">
        <v>96</v>
      </c>
      <c r="C51" s="23" t="s">
        <v>97</v>
      </c>
      <c r="D51" s="14">
        <v>860.0</v>
      </c>
      <c r="E51" s="16"/>
      <c r="F51" s="14">
        <f t="shared" si="5"/>
        <v>860</v>
      </c>
      <c r="G51" s="19">
        <f t="shared" si="6"/>
        <v>3343</v>
      </c>
    </row>
    <row r="52">
      <c r="A52" s="12">
        <v>14.0</v>
      </c>
      <c r="B52" s="12" t="s">
        <v>79</v>
      </c>
      <c r="C52" s="13" t="s">
        <v>98</v>
      </c>
      <c r="D52" s="14">
        <v>157.0</v>
      </c>
      <c r="E52" s="16"/>
      <c r="F52" s="14">
        <f t="shared" si="5"/>
        <v>157</v>
      </c>
      <c r="G52" s="19">
        <f t="shared" si="6"/>
        <v>3500</v>
      </c>
    </row>
    <row r="53">
      <c r="A53" s="12">
        <v>15.0</v>
      </c>
      <c r="B53" s="12" t="s">
        <v>79</v>
      </c>
      <c r="C53" s="13" t="s">
        <v>98</v>
      </c>
      <c r="D53" s="14">
        <v>165.0</v>
      </c>
      <c r="E53" s="16"/>
      <c r="F53" s="14">
        <f t="shared" si="5"/>
        <v>165</v>
      </c>
      <c r="G53" s="19">
        <f t="shared" si="6"/>
        <v>3665</v>
      </c>
    </row>
    <row r="54">
      <c r="A54" s="12">
        <v>16.0</v>
      </c>
      <c r="B54" s="12" t="s">
        <v>79</v>
      </c>
      <c r="C54" s="13" t="s">
        <v>98</v>
      </c>
      <c r="D54" s="14">
        <v>173.0</v>
      </c>
      <c r="E54" s="16"/>
      <c r="F54" s="14">
        <f t="shared" si="5"/>
        <v>173</v>
      </c>
      <c r="G54" s="19">
        <f t="shared" si="6"/>
        <v>3838</v>
      </c>
    </row>
    <row r="55">
      <c r="A55" s="12">
        <v>17.0</v>
      </c>
      <c r="B55" s="12" t="s">
        <v>83</v>
      </c>
      <c r="C55" s="13" t="s">
        <v>101</v>
      </c>
      <c r="D55" s="14">
        <v>309.0</v>
      </c>
      <c r="E55" s="14">
        <v>325.0</v>
      </c>
      <c r="F55" s="14">
        <f t="shared" si="5"/>
        <v>634</v>
      </c>
      <c r="G55" s="19">
        <f t="shared" si="6"/>
        <v>4472</v>
      </c>
    </row>
    <row r="56">
      <c r="A56" s="24"/>
      <c r="B56" s="24"/>
      <c r="C56" s="26"/>
      <c r="D56" s="27">
        <v>19.0</v>
      </c>
      <c r="E56" s="28"/>
      <c r="F56" s="27">
        <f>SUM(F39:F55)</f>
        <v>4472</v>
      </c>
      <c r="G56" s="29">
        <f>G55</f>
        <v>4472</v>
      </c>
    </row>
    <row r="57">
      <c r="C57" s="30"/>
      <c r="G57" s="30"/>
    </row>
    <row r="58">
      <c r="A58" s="4" t="s">
        <v>87</v>
      </c>
      <c r="B58" s="5"/>
      <c r="C58" s="5"/>
      <c r="D58" s="5"/>
      <c r="E58" s="5"/>
      <c r="F58" s="5"/>
      <c r="G58" s="6"/>
    </row>
    <row r="59">
      <c r="A59" s="7"/>
      <c r="B59" s="8"/>
      <c r="C59" s="8"/>
      <c r="D59" s="8"/>
      <c r="E59" s="8"/>
      <c r="F59" s="8"/>
      <c r="G59" s="9"/>
    </row>
    <row r="60">
      <c r="A60" s="10"/>
      <c r="B60" s="10" t="s">
        <v>6</v>
      </c>
      <c r="C60" s="11" t="s">
        <v>7</v>
      </c>
      <c r="D60" s="10" t="s">
        <v>8</v>
      </c>
      <c r="E60" s="10" t="s">
        <v>9</v>
      </c>
      <c r="F60" s="10" t="s">
        <v>10</v>
      </c>
      <c r="G60" s="11" t="s">
        <v>11</v>
      </c>
    </row>
    <row r="61">
      <c r="A61" s="12">
        <v>1.0</v>
      </c>
      <c r="B61" s="12" t="s">
        <v>93</v>
      </c>
      <c r="C61" s="13" t="s">
        <v>108</v>
      </c>
      <c r="D61" s="14">
        <v>173.0</v>
      </c>
      <c r="E61" s="16"/>
      <c r="F61" s="14">
        <f t="shared" ref="F61:F84" si="7">SUM(D61:E61)</f>
        <v>173</v>
      </c>
      <c r="G61" s="19">
        <f>F61</f>
        <v>173</v>
      </c>
    </row>
    <row r="62">
      <c r="A62" s="12">
        <v>2.0</v>
      </c>
      <c r="B62" s="12" t="s">
        <v>93</v>
      </c>
      <c r="C62" s="13" t="s">
        <v>108</v>
      </c>
      <c r="D62" s="14">
        <v>182.0</v>
      </c>
      <c r="E62" s="16"/>
      <c r="F62" s="14">
        <f t="shared" si="7"/>
        <v>182</v>
      </c>
      <c r="G62" s="19">
        <f t="shared" ref="G62:G84" si="8">G61+F62</f>
        <v>355</v>
      </c>
    </row>
    <row r="63">
      <c r="A63" s="12">
        <v>3.0</v>
      </c>
      <c r="B63" s="12" t="s">
        <v>93</v>
      </c>
      <c r="C63" s="13" t="s">
        <v>108</v>
      </c>
      <c r="D63" s="14">
        <v>191.0</v>
      </c>
      <c r="E63" s="16"/>
      <c r="F63" s="14">
        <f t="shared" si="7"/>
        <v>191</v>
      </c>
      <c r="G63" s="19">
        <f t="shared" si="8"/>
        <v>546</v>
      </c>
    </row>
    <row r="64">
      <c r="A64" s="12">
        <v>4.0</v>
      </c>
      <c r="B64" s="12" t="s">
        <v>64</v>
      </c>
      <c r="C64" s="13" t="s">
        <v>82</v>
      </c>
      <c r="D64" s="14">
        <v>201.0</v>
      </c>
      <c r="E64" s="16"/>
      <c r="F64" s="14">
        <f t="shared" si="7"/>
        <v>201</v>
      </c>
      <c r="G64" s="19">
        <f t="shared" si="8"/>
        <v>747</v>
      </c>
    </row>
    <row r="65">
      <c r="A65" s="12">
        <v>5.0</v>
      </c>
      <c r="B65" s="12" t="s">
        <v>99</v>
      </c>
      <c r="C65" s="13" t="s">
        <v>114</v>
      </c>
      <c r="D65" s="14">
        <v>211.0</v>
      </c>
      <c r="E65" s="16"/>
      <c r="F65" s="14">
        <f t="shared" si="7"/>
        <v>211</v>
      </c>
      <c r="G65" s="19">
        <f t="shared" si="8"/>
        <v>958</v>
      </c>
    </row>
    <row r="66">
      <c r="A66" s="12">
        <v>6.0</v>
      </c>
      <c r="B66" s="12" t="s">
        <v>99</v>
      </c>
      <c r="C66" s="13" t="s">
        <v>114</v>
      </c>
      <c r="D66" s="14">
        <v>222.0</v>
      </c>
      <c r="E66" s="16"/>
      <c r="F66" s="14">
        <f t="shared" si="7"/>
        <v>222</v>
      </c>
      <c r="G66" s="19">
        <f t="shared" si="8"/>
        <v>1180</v>
      </c>
    </row>
    <row r="67">
      <c r="A67" s="12">
        <v>7.0</v>
      </c>
      <c r="B67" s="12" t="s">
        <v>47</v>
      </c>
      <c r="C67" s="13" t="s">
        <v>57</v>
      </c>
      <c r="D67" s="14">
        <v>233.0</v>
      </c>
      <c r="E67" s="16"/>
      <c r="F67" s="14">
        <f t="shared" si="7"/>
        <v>233</v>
      </c>
      <c r="G67" s="19">
        <f t="shared" si="8"/>
        <v>1413</v>
      </c>
    </row>
    <row r="68">
      <c r="A68" s="12">
        <v>8.0</v>
      </c>
      <c r="B68" s="12" t="s">
        <v>47</v>
      </c>
      <c r="C68" s="13" t="s">
        <v>57</v>
      </c>
      <c r="D68" s="14">
        <v>244.0</v>
      </c>
      <c r="E68" s="16"/>
      <c r="F68" s="14">
        <f t="shared" si="7"/>
        <v>244</v>
      </c>
      <c r="G68" s="19">
        <f t="shared" si="8"/>
        <v>1657</v>
      </c>
    </row>
    <row r="69">
      <c r="A69" s="12">
        <v>9.0</v>
      </c>
      <c r="B69" s="12" t="s">
        <v>47</v>
      </c>
      <c r="C69" s="13" t="s">
        <v>57</v>
      </c>
      <c r="D69" s="14">
        <v>257.0</v>
      </c>
      <c r="E69" s="16"/>
      <c r="F69" s="14">
        <f t="shared" si="7"/>
        <v>257</v>
      </c>
      <c r="G69" s="19">
        <f t="shared" si="8"/>
        <v>1914</v>
      </c>
    </row>
    <row r="70">
      <c r="A70" s="12">
        <v>10.0</v>
      </c>
      <c r="B70" s="12" t="s">
        <v>99</v>
      </c>
      <c r="C70" s="13" t="s">
        <v>114</v>
      </c>
      <c r="D70" s="14">
        <v>222.0</v>
      </c>
      <c r="E70" s="16"/>
      <c r="F70" s="14">
        <f t="shared" si="7"/>
        <v>222</v>
      </c>
      <c r="G70" s="19">
        <f t="shared" si="8"/>
        <v>2136</v>
      </c>
    </row>
    <row r="71">
      <c r="A71" s="12">
        <v>11.0</v>
      </c>
      <c r="B71" s="12" t="s">
        <v>104</v>
      </c>
      <c r="C71" s="13" t="s">
        <v>119</v>
      </c>
      <c r="D71" s="14">
        <v>173.0</v>
      </c>
      <c r="E71" s="16"/>
      <c r="F71" s="14">
        <f t="shared" si="7"/>
        <v>173</v>
      </c>
      <c r="G71" s="19">
        <f t="shared" si="8"/>
        <v>2309</v>
      </c>
    </row>
    <row r="72">
      <c r="A72" s="12">
        <v>12.0</v>
      </c>
      <c r="B72" s="12" t="s">
        <v>104</v>
      </c>
      <c r="C72" s="13" t="s">
        <v>119</v>
      </c>
      <c r="D72" s="14">
        <v>182.0</v>
      </c>
      <c r="E72" s="16"/>
      <c r="F72" s="14">
        <f t="shared" si="7"/>
        <v>182</v>
      </c>
      <c r="G72" s="19">
        <f t="shared" si="8"/>
        <v>2491</v>
      </c>
    </row>
    <row r="73">
      <c r="A73" s="12">
        <v>13.0</v>
      </c>
      <c r="B73" s="12" t="s">
        <v>104</v>
      </c>
      <c r="C73" s="13" t="s">
        <v>119</v>
      </c>
      <c r="D73" s="14">
        <v>191.0</v>
      </c>
      <c r="E73" s="16"/>
      <c r="F73" s="14">
        <f t="shared" si="7"/>
        <v>191</v>
      </c>
      <c r="G73" s="19">
        <f t="shared" si="8"/>
        <v>2682</v>
      </c>
    </row>
    <row r="74">
      <c r="A74" s="12">
        <v>14.0</v>
      </c>
      <c r="B74" s="12" t="s">
        <v>75</v>
      </c>
      <c r="C74" s="13" t="s">
        <v>95</v>
      </c>
      <c r="D74" s="14">
        <v>201.0</v>
      </c>
      <c r="E74" s="16"/>
      <c r="F74" s="14">
        <f t="shared" si="7"/>
        <v>201</v>
      </c>
      <c r="G74" s="19">
        <f t="shared" si="8"/>
        <v>2883</v>
      </c>
    </row>
    <row r="75">
      <c r="A75" s="12">
        <v>15.0</v>
      </c>
      <c r="B75" s="12" t="s">
        <v>106</v>
      </c>
      <c r="C75" s="13" t="s">
        <v>122</v>
      </c>
      <c r="D75" s="14">
        <v>211.0</v>
      </c>
      <c r="E75" s="16"/>
      <c r="F75" s="14">
        <f t="shared" si="7"/>
        <v>211</v>
      </c>
      <c r="G75" s="19">
        <f t="shared" si="8"/>
        <v>3094</v>
      </c>
    </row>
    <row r="76">
      <c r="A76" s="12">
        <v>16.0</v>
      </c>
      <c r="B76" s="12" t="s">
        <v>106</v>
      </c>
      <c r="C76" s="13" t="s">
        <v>122</v>
      </c>
      <c r="D76" s="14">
        <v>222.0</v>
      </c>
      <c r="E76" s="16"/>
      <c r="F76" s="14">
        <f t="shared" si="7"/>
        <v>222</v>
      </c>
      <c r="G76" s="19">
        <f t="shared" si="8"/>
        <v>3316</v>
      </c>
    </row>
    <row r="77">
      <c r="A77" s="12">
        <v>17.0</v>
      </c>
      <c r="B77" s="12" t="s">
        <v>75</v>
      </c>
      <c r="C77" s="13" t="s">
        <v>95</v>
      </c>
      <c r="D77" s="14">
        <v>233.0</v>
      </c>
      <c r="E77" s="16"/>
      <c r="F77" s="14">
        <f t="shared" si="7"/>
        <v>233</v>
      </c>
      <c r="G77" s="19">
        <f t="shared" si="8"/>
        <v>3549</v>
      </c>
    </row>
    <row r="78">
      <c r="A78" s="12">
        <v>18.0</v>
      </c>
      <c r="B78" s="12" t="s">
        <v>126</v>
      </c>
      <c r="C78" s="23" t="s">
        <v>127</v>
      </c>
      <c r="D78" s="14">
        <v>1101.0</v>
      </c>
      <c r="E78" s="16"/>
      <c r="F78" s="14">
        <f t="shared" si="7"/>
        <v>1101</v>
      </c>
      <c r="G78" s="19">
        <f t="shared" si="8"/>
        <v>4650</v>
      </c>
    </row>
    <row r="79">
      <c r="A79" s="12">
        <v>19.0</v>
      </c>
      <c r="B79" s="12" t="s">
        <v>64</v>
      </c>
      <c r="C79" s="13" t="s">
        <v>82</v>
      </c>
      <c r="D79" s="14">
        <v>244.0</v>
      </c>
      <c r="E79" s="16"/>
      <c r="F79" s="14">
        <f t="shared" si="7"/>
        <v>244</v>
      </c>
      <c r="G79" s="19">
        <f t="shared" si="8"/>
        <v>4894</v>
      </c>
    </row>
    <row r="80">
      <c r="A80" s="12">
        <v>20.0</v>
      </c>
      <c r="B80" s="12" t="s">
        <v>106</v>
      </c>
      <c r="C80" s="13" t="s">
        <v>122</v>
      </c>
      <c r="D80" s="14">
        <v>222.0</v>
      </c>
      <c r="E80" s="16"/>
      <c r="F80" s="14">
        <f t="shared" si="7"/>
        <v>222</v>
      </c>
      <c r="G80" s="19">
        <f t="shared" si="8"/>
        <v>5116</v>
      </c>
    </row>
    <row r="81">
      <c r="A81" s="12">
        <v>21.0</v>
      </c>
      <c r="B81" s="12" t="s">
        <v>51</v>
      </c>
      <c r="C81" s="13" t="s">
        <v>63</v>
      </c>
      <c r="D81" s="14">
        <v>233.0</v>
      </c>
      <c r="E81" s="16"/>
      <c r="F81" s="14">
        <f t="shared" si="7"/>
        <v>233</v>
      </c>
      <c r="G81" s="19">
        <f t="shared" si="8"/>
        <v>5349</v>
      </c>
    </row>
    <row r="82">
      <c r="A82" s="12">
        <v>22.0</v>
      </c>
      <c r="B82" s="12" t="s">
        <v>51</v>
      </c>
      <c r="C82" s="13" t="s">
        <v>63</v>
      </c>
      <c r="D82" s="14">
        <v>244.0</v>
      </c>
      <c r="E82" s="16"/>
      <c r="F82" s="14">
        <f t="shared" si="7"/>
        <v>244</v>
      </c>
      <c r="G82" s="19">
        <f t="shared" si="8"/>
        <v>5593</v>
      </c>
    </row>
    <row r="83">
      <c r="A83" s="12">
        <v>23.0</v>
      </c>
      <c r="B83" s="12" t="s">
        <v>51</v>
      </c>
      <c r="C83" s="13" t="s">
        <v>63</v>
      </c>
      <c r="D83" s="14">
        <v>257.0</v>
      </c>
      <c r="E83" s="16"/>
      <c r="F83" s="14">
        <f t="shared" si="7"/>
        <v>257</v>
      </c>
      <c r="G83" s="19">
        <f t="shared" si="8"/>
        <v>5850</v>
      </c>
    </row>
    <row r="84">
      <c r="A84" s="12">
        <v>24.0</v>
      </c>
      <c r="B84" s="12" t="s">
        <v>22</v>
      </c>
      <c r="C84" s="13" t="s">
        <v>130</v>
      </c>
      <c r="D84" s="14">
        <v>458.0</v>
      </c>
      <c r="E84" s="14">
        <v>481.0</v>
      </c>
      <c r="F84" s="14">
        <f t="shared" si="7"/>
        <v>939</v>
      </c>
      <c r="G84" s="19">
        <f t="shared" si="8"/>
        <v>6789</v>
      </c>
    </row>
    <row r="85">
      <c r="A85" s="24"/>
      <c r="B85" s="24"/>
      <c r="C85" s="26"/>
      <c r="D85" s="27">
        <v>25.0</v>
      </c>
      <c r="E85" s="28"/>
      <c r="F85" s="27">
        <f>SUM(F61:F84)</f>
        <v>6789</v>
      </c>
      <c r="G85" s="29">
        <f>G84</f>
        <v>6789</v>
      </c>
    </row>
  </sheetData>
  <mergeCells count="4">
    <mergeCell ref="A1:G2"/>
    <mergeCell ref="A17:G18"/>
    <mergeCell ref="A36:G37"/>
    <mergeCell ref="A58:G59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8.86"/>
    <col customWidth="1" min="3" max="3" width="61.57"/>
    <col customWidth="1" min="4" max="5" width="7.14"/>
    <col customWidth="1" min="6" max="6" width="6.57"/>
    <col customWidth="1" min="7" max="7" width="8.57"/>
  </cols>
  <sheetData>
    <row r="1">
      <c r="A1" s="4" t="s">
        <v>3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12</v>
      </c>
      <c r="C4" s="13" t="s">
        <v>16</v>
      </c>
      <c r="D4" s="14">
        <v>73.0</v>
      </c>
      <c r="E4" s="16"/>
      <c r="F4" s="14">
        <f t="shared" ref="F4:F14" si="1">SUM(D4:E4)</f>
        <v>73</v>
      </c>
      <c r="G4" s="19">
        <f>F4</f>
        <v>73</v>
      </c>
    </row>
    <row r="5">
      <c r="A5" s="12">
        <v>2.0</v>
      </c>
      <c r="B5" s="12" t="s">
        <v>22</v>
      </c>
      <c r="C5" s="13" t="s">
        <v>27</v>
      </c>
      <c r="D5" s="14">
        <v>76.0</v>
      </c>
      <c r="E5" s="16"/>
      <c r="F5" s="14">
        <f t="shared" si="1"/>
        <v>76</v>
      </c>
      <c r="G5" s="19">
        <f t="shared" ref="G5:G14" si="2">G4+F5</f>
        <v>149</v>
      </c>
    </row>
    <row r="6">
      <c r="A6" s="12">
        <v>3.0</v>
      </c>
      <c r="B6" s="12" t="s">
        <v>12</v>
      </c>
      <c r="C6" s="13" t="s">
        <v>16</v>
      </c>
      <c r="D6" s="14">
        <v>80.0</v>
      </c>
      <c r="E6" s="16"/>
      <c r="F6" s="14">
        <f t="shared" si="1"/>
        <v>80</v>
      </c>
      <c r="G6" s="19">
        <f t="shared" si="2"/>
        <v>229</v>
      </c>
    </row>
    <row r="7">
      <c r="A7" s="12">
        <v>4.0</v>
      </c>
      <c r="B7" s="12" t="s">
        <v>25</v>
      </c>
      <c r="C7" s="13" t="s">
        <v>32</v>
      </c>
      <c r="D7" s="14">
        <v>84.0</v>
      </c>
      <c r="E7" s="16"/>
      <c r="F7" s="14">
        <f t="shared" si="1"/>
        <v>84</v>
      </c>
      <c r="G7" s="19">
        <f t="shared" si="2"/>
        <v>313</v>
      </c>
    </row>
    <row r="8">
      <c r="A8" s="12">
        <v>5.0</v>
      </c>
      <c r="B8" s="12" t="s">
        <v>28</v>
      </c>
      <c r="C8" s="13" t="s">
        <v>34</v>
      </c>
      <c r="D8" s="14">
        <v>151.0</v>
      </c>
      <c r="E8" s="14">
        <v>158.0</v>
      </c>
      <c r="F8" s="14">
        <f t="shared" si="1"/>
        <v>309</v>
      </c>
      <c r="G8" s="19">
        <f t="shared" si="2"/>
        <v>622</v>
      </c>
    </row>
    <row r="9">
      <c r="A9" s="12">
        <v>6.0</v>
      </c>
      <c r="B9" s="12" t="s">
        <v>25</v>
      </c>
      <c r="C9" s="13" t="s">
        <v>32</v>
      </c>
      <c r="D9" s="14">
        <v>93.0</v>
      </c>
      <c r="E9" s="16"/>
      <c r="F9" s="14">
        <f t="shared" si="1"/>
        <v>93</v>
      </c>
      <c r="G9" s="19">
        <f t="shared" si="2"/>
        <v>715</v>
      </c>
    </row>
    <row r="10">
      <c r="A10" s="12">
        <v>7.0</v>
      </c>
      <c r="B10" s="12" t="s">
        <v>12</v>
      </c>
      <c r="C10" s="13" t="s">
        <v>16</v>
      </c>
      <c r="D10" s="14">
        <v>98.0</v>
      </c>
      <c r="E10" s="16"/>
      <c r="F10" s="14">
        <f t="shared" si="1"/>
        <v>98</v>
      </c>
      <c r="G10" s="19">
        <f t="shared" si="2"/>
        <v>813</v>
      </c>
    </row>
    <row r="11">
      <c r="A11" s="12">
        <v>8.0</v>
      </c>
      <c r="B11" s="12" t="s">
        <v>22</v>
      </c>
      <c r="C11" s="13" t="s">
        <v>27</v>
      </c>
      <c r="D11" s="14">
        <v>103.0</v>
      </c>
      <c r="E11" s="16"/>
      <c r="F11" s="14">
        <f t="shared" si="1"/>
        <v>103</v>
      </c>
      <c r="G11" s="19">
        <f t="shared" si="2"/>
        <v>916</v>
      </c>
    </row>
    <row r="12">
      <c r="A12" s="12">
        <v>9.0</v>
      </c>
      <c r="B12" s="12" t="s">
        <v>25</v>
      </c>
      <c r="C12" s="13" t="s">
        <v>32</v>
      </c>
      <c r="D12" s="14">
        <v>108.0</v>
      </c>
      <c r="E12" s="16"/>
      <c r="F12" s="14">
        <f t="shared" si="1"/>
        <v>108</v>
      </c>
      <c r="G12" s="19">
        <f t="shared" si="2"/>
        <v>1024</v>
      </c>
    </row>
    <row r="13">
      <c r="A13" s="12">
        <v>10.0</v>
      </c>
      <c r="B13" s="12" t="s">
        <v>22</v>
      </c>
      <c r="C13" s="13" t="s">
        <v>27</v>
      </c>
      <c r="D13" s="14">
        <v>113.0</v>
      </c>
      <c r="E13" s="16"/>
      <c r="F13" s="14">
        <f t="shared" si="1"/>
        <v>113</v>
      </c>
      <c r="G13" s="19">
        <f t="shared" si="2"/>
        <v>1137</v>
      </c>
    </row>
    <row r="14">
      <c r="A14" s="12">
        <v>11.0</v>
      </c>
      <c r="B14" s="12" t="s">
        <v>39</v>
      </c>
      <c r="C14" s="23" t="s">
        <v>42</v>
      </c>
      <c r="D14" s="14">
        <v>537.0</v>
      </c>
      <c r="E14" s="16"/>
      <c r="F14" s="14">
        <f t="shared" si="1"/>
        <v>537</v>
      </c>
      <c r="G14" s="19">
        <f t="shared" si="2"/>
        <v>1674</v>
      </c>
    </row>
    <row r="15">
      <c r="A15" s="24"/>
      <c r="B15" s="24"/>
      <c r="C15" s="26"/>
      <c r="D15" s="27">
        <v>12.0</v>
      </c>
      <c r="E15" s="28"/>
      <c r="F15" s="27">
        <f>SUM(F4:F14)</f>
        <v>1674</v>
      </c>
      <c r="G15" s="29">
        <f>G14</f>
        <v>1674</v>
      </c>
    </row>
    <row r="16">
      <c r="C16" s="30"/>
      <c r="G16" s="30"/>
    </row>
    <row r="17">
      <c r="A17" s="4" t="s">
        <v>38</v>
      </c>
      <c r="B17" s="5"/>
      <c r="C17" s="5"/>
      <c r="D17" s="5"/>
      <c r="E17" s="5"/>
      <c r="F17" s="5"/>
      <c r="G17" s="6"/>
    </row>
    <row r="18">
      <c r="A18" s="7"/>
      <c r="B18" s="8"/>
      <c r="C18" s="8"/>
      <c r="D18" s="8"/>
      <c r="E18" s="8"/>
      <c r="F18" s="8"/>
      <c r="G18" s="9"/>
    </row>
    <row r="19">
      <c r="A19" s="10"/>
      <c r="B19" s="10" t="s">
        <v>6</v>
      </c>
      <c r="C19" s="11" t="s">
        <v>7</v>
      </c>
      <c r="D19" s="10" t="s">
        <v>8</v>
      </c>
      <c r="E19" s="10" t="s">
        <v>9</v>
      </c>
      <c r="F19" s="10" t="s">
        <v>10</v>
      </c>
      <c r="G19" s="11" t="s">
        <v>11</v>
      </c>
    </row>
    <row r="20">
      <c r="A20" s="12">
        <v>1.0</v>
      </c>
      <c r="B20" s="12" t="s">
        <v>43</v>
      </c>
      <c r="C20" s="13" t="s">
        <v>54</v>
      </c>
      <c r="D20" s="14">
        <v>112.0</v>
      </c>
      <c r="E20" s="16"/>
      <c r="F20" s="14">
        <f t="shared" ref="F20:F33" si="3">SUM(D20:E20)</f>
        <v>112</v>
      </c>
      <c r="G20" s="19">
        <f>F20</f>
        <v>112</v>
      </c>
    </row>
    <row r="21">
      <c r="A21" s="12">
        <v>2.0</v>
      </c>
      <c r="B21" s="12" t="s">
        <v>40</v>
      </c>
      <c r="C21" s="13" t="s">
        <v>59</v>
      </c>
      <c r="D21" s="14">
        <v>112.0</v>
      </c>
      <c r="E21" s="16"/>
      <c r="F21" s="14">
        <f t="shared" si="3"/>
        <v>112</v>
      </c>
      <c r="G21" s="19">
        <f t="shared" ref="G21:G33" si="4">G20+F21</f>
        <v>224</v>
      </c>
    </row>
    <row r="22">
      <c r="A22" s="12">
        <v>3.0</v>
      </c>
      <c r="B22" s="12" t="s">
        <v>45</v>
      </c>
      <c r="C22" s="13" t="s">
        <v>62</v>
      </c>
      <c r="D22" s="14">
        <v>200.0</v>
      </c>
      <c r="E22" s="14">
        <v>210.0</v>
      </c>
      <c r="F22" s="14">
        <f t="shared" si="3"/>
        <v>410</v>
      </c>
      <c r="G22" s="19">
        <f t="shared" si="4"/>
        <v>634</v>
      </c>
    </row>
    <row r="23">
      <c r="A23" s="12">
        <v>4.0</v>
      </c>
      <c r="B23" s="12" t="s">
        <v>43</v>
      </c>
      <c r="C23" s="13" t="s">
        <v>54</v>
      </c>
      <c r="D23" s="14">
        <v>124.0</v>
      </c>
      <c r="E23" s="16"/>
      <c r="F23" s="14">
        <f t="shared" si="3"/>
        <v>124</v>
      </c>
      <c r="G23" s="19">
        <f t="shared" si="4"/>
        <v>758</v>
      </c>
    </row>
    <row r="24">
      <c r="A24" s="12">
        <v>5.0</v>
      </c>
      <c r="B24" s="12" t="s">
        <v>43</v>
      </c>
      <c r="C24" s="13" t="s">
        <v>54</v>
      </c>
      <c r="D24" s="14">
        <v>130.0</v>
      </c>
      <c r="E24" s="16"/>
      <c r="F24" s="14">
        <f t="shared" si="3"/>
        <v>130</v>
      </c>
      <c r="G24" s="19">
        <f t="shared" si="4"/>
        <v>888</v>
      </c>
    </row>
    <row r="25">
      <c r="A25" s="12">
        <v>6.0</v>
      </c>
      <c r="B25" s="12" t="s">
        <v>51</v>
      </c>
      <c r="C25" s="13" t="s">
        <v>69</v>
      </c>
      <c r="D25" s="14">
        <v>136.0</v>
      </c>
      <c r="E25" s="16"/>
      <c r="F25" s="14">
        <f t="shared" si="3"/>
        <v>136</v>
      </c>
      <c r="G25" s="19">
        <f t="shared" si="4"/>
        <v>1024</v>
      </c>
    </row>
    <row r="26">
      <c r="A26" s="12">
        <v>7.0</v>
      </c>
      <c r="B26" s="12" t="s">
        <v>43</v>
      </c>
      <c r="C26" s="13" t="s">
        <v>54</v>
      </c>
      <c r="D26" s="14">
        <v>143.0</v>
      </c>
      <c r="E26" s="16"/>
      <c r="F26" s="14">
        <f t="shared" si="3"/>
        <v>143</v>
      </c>
      <c r="G26" s="19">
        <f t="shared" si="4"/>
        <v>1167</v>
      </c>
    </row>
    <row r="27">
      <c r="A27" s="12">
        <v>8.0</v>
      </c>
      <c r="B27" s="12" t="s">
        <v>43</v>
      </c>
      <c r="C27" s="13" t="s">
        <v>54</v>
      </c>
      <c r="D27" s="14">
        <v>150.0</v>
      </c>
      <c r="E27" s="16"/>
      <c r="F27" s="14">
        <f t="shared" si="3"/>
        <v>150</v>
      </c>
      <c r="G27" s="19">
        <f t="shared" si="4"/>
        <v>1317</v>
      </c>
    </row>
    <row r="28">
      <c r="A28" s="12">
        <v>9.0</v>
      </c>
      <c r="B28" s="12" t="s">
        <v>40</v>
      </c>
      <c r="C28" s="13" t="s">
        <v>59</v>
      </c>
      <c r="D28" s="14">
        <v>124.0</v>
      </c>
      <c r="E28" s="16"/>
      <c r="F28" s="14">
        <f t="shared" si="3"/>
        <v>124</v>
      </c>
      <c r="G28" s="19">
        <f t="shared" si="4"/>
        <v>1441</v>
      </c>
    </row>
    <row r="29">
      <c r="A29" s="12">
        <v>10.0</v>
      </c>
      <c r="B29" s="12" t="s">
        <v>40</v>
      </c>
      <c r="C29" s="13" t="s">
        <v>59</v>
      </c>
      <c r="D29" s="14">
        <v>130.0</v>
      </c>
      <c r="E29" s="16"/>
      <c r="F29" s="14">
        <f t="shared" si="3"/>
        <v>130</v>
      </c>
      <c r="G29" s="19">
        <f t="shared" si="4"/>
        <v>1571</v>
      </c>
    </row>
    <row r="30">
      <c r="A30" s="12">
        <v>11.0</v>
      </c>
      <c r="B30" s="12" t="s">
        <v>47</v>
      </c>
      <c r="C30" s="13" t="s">
        <v>81</v>
      </c>
      <c r="D30" s="14">
        <v>136.0</v>
      </c>
      <c r="E30" s="16"/>
      <c r="F30" s="14">
        <f t="shared" si="3"/>
        <v>136</v>
      </c>
      <c r="G30" s="19">
        <f t="shared" si="4"/>
        <v>1707</v>
      </c>
    </row>
    <row r="31">
      <c r="A31" s="12">
        <v>12.0</v>
      </c>
      <c r="B31" s="12" t="s">
        <v>40</v>
      </c>
      <c r="C31" s="13" t="s">
        <v>59</v>
      </c>
      <c r="D31" s="14">
        <v>143.0</v>
      </c>
      <c r="E31" s="16"/>
      <c r="F31" s="14">
        <f t="shared" si="3"/>
        <v>143</v>
      </c>
      <c r="G31" s="19">
        <f t="shared" si="4"/>
        <v>1850</v>
      </c>
    </row>
    <row r="32">
      <c r="A32" s="12">
        <v>13.0</v>
      </c>
      <c r="B32" s="12" t="s">
        <v>40</v>
      </c>
      <c r="C32" s="13" t="s">
        <v>59</v>
      </c>
      <c r="D32" s="14">
        <v>150.0</v>
      </c>
      <c r="E32" s="16"/>
      <c r="F32" s="14">
        <f t="shared" si="3"/>
        <v>150</v>
      </c>
      <c r="G32" s="19">
        <f t="shared" si="4"/>
        <v>2000</v>
      </c>
    </row>
    <row r="33">
      <c r="A33" s="12">
        <v>14.0</v>
      </c>
      <c r="B33" s="12" t="s">
        <v>88</v>
      </c>
      <c r="C33" s="13" t="s">
        <v>89</v>
      </c>
      <c r="D33" s="14">
        <v>712.0</v>
      </c>
      <c r="E33" s="16"/>
      <c r="F33" s="14">
        <f t="shared" si="3"/>
        <v>712</v>
      </c>
      <c r="G33" s="19">
        <f t="shared" si="4"/>
        <v>2712</v>
      </c>
    </row>
    <row r="34">
      <c r="A34" s="24"/>
      <c r="B34" s="24"/>
      <c r="C34" s="26"/>
      <c r="D34" s="27">
        <v>15.0</v>
      </c>
      <c r="E34" s="28"/>
      <c r="F34" s="27">
        <f>SUM(F20:F33)</f>
        <v>2712</v>
      </c>
      <c r="G34" s="29">
        <f>G33</f>
        <v>2712</v>
      </c>
    </row>
    <row r="35">
      <c r="C35" s="30"/>
      <c r="G35" s="30"/>
    </row>
    <row r="36">
      <c r="A36" s="4" t="s">
        <v>58</v>
      </c>
      <c r="B36" s="5"/>
      <c r="C36" s="5"/>
      <c r="D36" s="5"/>
      <c r="E36" s="5"/>
      <c r="F36" s="5"/>
      <c r="G36" s="6"/>
    </row>
    <row r="37">
      <c r="A37" s="7"/>
      <c r="B37" s="8"/>
      <c r="C37" s="8"/>
      <c r="D37" s="8"/>
      <c r="E37" s="8"/>
      <c r="F37" s="8"/>
      <c r="G37" s="9"/>
    </row>
    <row r="38">
      <c r="A38" s="10"/>
      <c r="B38" s="10" t="s">
        <v>6</v>
      </c>
      <c r="C38" s="11" t="s">
        <v>7</v>
      </c>
      <c r="D38" s="10" t="s">
        <v>8</v>
      </c>
      <c r="E38" s="10" t="s">
        <v>9</v>
      </c>
      <c r="F38" s="10" t="s">
        <v>10</v>
      </c>
      <c r="G38" s="11" t="s">
        <v>11</v>
      </c>
    </row>
    <row r="39">
      <c r="A39" s="12">
        <v>1.0</v>
      </c>
      <c r="B39" s="12" t="s">
        <v>72</v>
      </c>
      <c r="C39" s="13" t="s">
        <v>102</v>
      </c>
      <c r="D39" s="14">
        <v>157.0</v>
      </c>
      <c r="E39" s="16"/>
      <c r="F39" s="14">
        <f t="shared" ref="F39:F55" si="5">SUM(D39:E39)</f>
        <v>157</v>
      </c>
      <c r="G39" s="19">
        <f>F39</f>
        <v>157</v>
      </c>
    </row>
    <row r="40">
      <c r="A40" s="12">
        <v>2.0</v>
      </c>
      <c r="B40" s="12" t="s">
        <v>72</v>
      </c>
      <c r="C40" s="13" t="s">
        <v>102</v>
      </c>
      <c r="D40" s="14">
        <v>165.0</v>
      </c>
      <c r="E40" s="16"/>
      <c r="F40" s="14">
        <f t="shared" si="5"/>
        <v>165</v>
      </c>
      <c r="G40" s="19">
        <f t="shared" ref="G40:G55" si="6">G39+F40</f>
        <v>322</v>
      </c>
    </row>
    <row r="41">
      <c r="A41" s="12">
        <v>3.0</v>
      </c>
      <c r="B41" s="12" t="s">
        <v>72</v>
      </c>
      <c r="C41" s="13" t="s">
        <v>102</v>
      </c>
      <c r="D41" s="14">
        <v>173.0</v>
      </c>
      <c r="E41" s="16"/>
      <c r="F41" s="14">
        <f t="shared" si="5"/>
        <v>173</v>
      </c>
      <c r="G41" s="19">
        <f t="shared" si="6"/>
        <v>495</v>
      </c>
    </row>
    <row r="42">
      <c r="A42" s="12">
        <v>4.0</v>
      </c>
      <c r="B42" s="12" t="s">
        <v>75</v>
      </c>
      <c r="C42" s="13" t="s">
        <v>111</v>
      </c>
      <c r="D42" s="14">
        <v>182.0</v>
      </c>
      <c r="E42" s="16"/>
      <c r="F42" s="14">
        <f t="shared" si="5"/>
        <v>182</v>
      </c>
      <c r="G42" s="19">
        <f t="shared" si="6"/>
        <v>677</v>
      </c>
    </row>
    <row r="43">
      <c r="A43" s="12">
        <v>5.0</v>
      </c>
      <c r="B43" s="12" t="s">
        <v>79</v>
      </c>
      <c r="C43" s="13" t="s">
        <v>113</v>
      </c>
      <c r="D43" s="14">
        <v>157.0</v>
      </c>
      <c r="E43" s="16"/>
      <c r="F43" s="14">
        <f t="shared" si="5"/>
        <v>157</v>
      </c>
      <c r="G43" s="19">
        <f t="shared" si="6"/>
        <v>834</v>
      </c>
    </row>
    <row r="44">
      <c r="A44" s="12">
        <v>6.0</v>
      </c>
      <c r="B44" s="12" t="s">
        <v>79</v>
      </c>
      <c r="C44" s="13" t="s">
        <v>113</v>
      </c>
      <c r="D44" s="14">
        <v>165.0</v>
      </c>
      <c r="E44" s="16"/>
      <c r="F44" s="14">
        <f t="shared" si="5"/>
        <v>165</v>
      </c>
      <c r="G44" s="19">
        <f t="shared" si="6"/>
        <v>999</v>
      </c>
    </row>
    <row r="45">
      <c r="A45" s="12">
        <v>7.0</v>
      </c>
      <c r="B45" s="12" t="s">
        <v>79</v>
      </c>
      <c r="C45" s="13" t="s">
        <v>113</v>
      </c>
      <c r="D45" s="14">
        <v>173.0</v>
      </c>
      <c r="E45" s="16"/>
      <c r="F45" s="14">
        <f t="shared" si="5"/>
        <v>173</v>
      </c>
      <c r="G45" s="19">
        <f t="shared" si="6"/>
        <v>1172</v>
      </c>
    </row>
    <row r="46">
      <c r="A46" s="12">
        <v>8.0</v>
      </c>
      <c r="B46" s="12" t="s">
        <v>83</v>
      </c>
      <c r="C46" s="13" t="s">
        <v>116</v>
      </c>
      <c r="D46" s="14">
        <v>309.0</v>
      </c>
      <c r="E46" s="14">
        <v>325.0</v>
      </c>
      <c r="F46" s="14">
        <f t="shared" si="5"/>
        <v>634</v>
      </c>
      <c r="G46" s="19">
        <f t="shared" si="6"/>
        <v>1806</v>
      </c>
    </row>
    <row r="47">
      <c r="A47" s="12">
        <v>9.0</v>
      </c>
      <c r="B47" s="12" t="s">
        <v>60</v>
      </c>
      <c r="C47" s="13" t="s">
        <v>117</v>
      </c>
      <c r="D47" s="14">
        <v>157.0</v>
      </c>
      <c r="E47" s="16"/>
      <c r="F47" s="14">
        <f t="shared" si="5"/>
        <v>157</v>
      </c>
      <c r="G47" s="19">
        <f t="shared" si="6"/>
        <v>1963</v>
      </c>
    </row>
    <row r="48">
      <c r="A48" s="12">
        <v>10.0</v>
      </c>
      <c r="B48" s="12" t="s">
        <v>60</v>
      </c>
      <c r="C48" s="13" t="s">
        <v>117</v>
      </c>
      <c r="D48" s="14">
        <v>165.0</v>
      </c>
      <c r="E48" s="16"/>
      <c r="F48" s="14">
        <f t="shared" si="5"/>
        <v>165</v>
      </c>
      <c r="G48" s="19">
        <f t="shared" si="6"/>
        <v>2128</v>
      </c>
    </row>
    <row r="49">
      <c r="A49" s="12">
        <v>11.0</v>
      </c>
      <c r="B49" s="12" t="s">
        <v>60</v>
      </c>
      <c r="C49" s="13" t="s">
        <v>117</v>
      </c>
      <c r="D49" s="14">
        <v>173.0</v>
      </c>
      <c r="E49" s="16"/>
      <c r="F49" s="14">
        <f t="shared" si="5"/>
        <v>173</v>
      </c>
      <c r="G49" s="19">
        <f t="shared" si="6"/>
        <v>2301</v>
      </c>
    </row>
    <row r="50">
      <c r="A50" s="12">
        <v>12.0</v>
      </c>
      <c r="B50" s="12" t="s">
        <v>64</v>
      </c>
      <c r="C50" s="13" t="s">
        <v>121</v>
      </c>
      <c r="D50" s="14">
        <v>182.0</v>
      </c>
      <c r="E50" s="16"/>
      <c r="F50" s="14">
        <f t="shared" si="5"/>
        <v>182</v>
      </c>
      <c r="G50" s="19">
        <f t="shared" si="6"/>
        <v>2483</v>
      </c>
    </row>
    <row r="51">
      <c r="A51" s="12">
        <v>13.0</v>
      </c>
      <c r="B51" s="12" t="s">
        <v>123</v>
      </c>
      <c r="C51" s="23" t="s">
        <v>124</v>
      </c>
      <c r="D51" s="14">
        <v>860.0</v>
      </c>
      <c r="E51" s="16"/>
      <c r="F51" s="14">
        <f t="shared" si="5"/>
        <v>860</v>
      </c>
      <c r="G51" s="19">
        <f t="shared" si="6"/>
        <v>3343</v>
      </c>
    </row>
    <row r="52">
      <c r="A52" s="12">
        <v>14.0</v>
      </c>
      <c r="B52" s="12" t="s">
        <v>67</v>
      </c>
      <c r="C52" s="13" t="s">
        <v>125</v>
      </c>
      <c r="D52" s="14">
        <v>157.0</v>
      </c>
      <c r="E52" s="16"/>
      <c r="F52" s="14">
        <f t="shared" si="5"/>
        <v>157</v>
      </c>
      <c r="G52" s="19">
        <f t="shared" si="6"/>
        <v>3500</v>
      </c>
    </row>
    <row r="53">
      <c r="A53" s="12">
        <v>15.0</v>
      </c>
      <c r="B53" s="12" t="s">
        <v>67</v>
      </c>
      <c r="C53" s="13" t="s">
        <v>125</v>
      </c>
      <c r="D53" s="14">
        <v>165.0</v>
      </c>
      <c r="E53" s="16"/>
      <c r="F53" s="14">
        <f t="shared" si="5"/>
        <v>165</v>
      </c>
      <c r="G53" s="19">
        <f t="shared" si="6"/>
        <v>3665</v>
      </c>
    </row>
    <row r="54">
      <c r="A54" s="12">
        <v>16.0</v>
      </c>
      <c r="B54" s="12" t="s">
        <v>67</v>
      </c>
      <c r="C54" s="13" t="s">
        <v>125</v>
      </c>
      <c r="D54" s="14">
        <v>173.0</v>
      </c>
      <c r="E54" s="16"/>
      <c r="F54" s="14">
        <f t="shared" si="5"/>
        <v>173</v>
      </c>
      <c r="G54" s="19">
        <f t="shared" si="6"/>
        <v>3838</v>
      </c>
    </row>
    <row r="55">
      <c r="A55" s="12">
        <v>17.0</v>
      </c>
      <c r="B55" s="12" t="s">
        <v>70</v>
      </c>
      <c r="C55" s="13" t="s">
        <v>129</v>
      </c>
      <c r="D55" s="14">
        <v>309.0</v>
      </c>
      <c r="E55" s="14">
        <v>325.0</v>
      </c>
      <c r="F55" s="14">
        <f t="shared" si="5"/>
        <v>634</v>
      </c>
      <c r="G55" s="19">
        <f t="shared" si="6"/>
        <v>4472</v>
      </c>
    </row>
    <row r="56">
      <c r="A56" s="24"/>
      <c r="B56" s="24"/>
      <c r="C56" s="26"/>
      <c r="D56" s="27">
        <v>19.0</v>
      </c>
      <c r="E56" s="28"/>
      <c r="F56" s="27">
        <f>SUM(F39:F55)</f>
        <v>4472</v>
      </c>
      <c r="G56" s="29">
        <f>G55</f>
        <v>4472</v>
      </c>
    </row>
    <row r="57">
      <c r="C57" s="30"/>
      <c r="G57" s="30"/>
    </row>
    <row r="58">
      <c r="A58" s="4" t="s">
        <v>87</v>
      </c>
      <c r="B58" s="5"/>
      <c r="C58" s="5"/>
      <c r="D58" s="5"/>
      <c r="E58" s="5"/>
      <c r="F58" s="5"/>
      <c r="G58" s="6"/>
    </row>
    <row r="59">
      <c r="A59" s="7"/>
      <c r="B59" s="8"/>
      <c r="C59" s="8"/>
      <c r="D59" s="8"/>
      <c r="E59" s="8"/>
      <c r="F59" s="8"/>
      <c r="G59" s="9"/>
    </row>
    <row r="60">
      <c r="A60" s="10"/>
      <c r="B60" s="10" t="s">
        <v>6</v>
      </c>
      <c r="C60" s="11" t="s">
        <v>7</v>
      </c>
      <c r="D60" s="10" t="s">
        <v>8</v>
      </c>
      <c r="E60" s="10" t="s">
        <v>9</v>
      </c>
      <c r="F60" s="10" t="s">
        <v>10</v>
      </c>
      <c r="G60" s="11" t="s">
        <v>11</v>
      </c>
    </row>
    <row r="61">
      <c r="A61" s="12">
        <v>1.0</v>
      </c>
      <c r="B61" s="12" t="s">
        <v>104</v>
      </c>
      <c r="C61" s="13" t="s">
        <v>132</v>
      </c>
      <c r="D61" s="14">
        <v>173.0</v>
      </c>
      <c r="E61" s="16"/>
      <c r="F61" s="14">
        <f t="shared" ref="F61:F84" si="7">SUM(D61:E61)</f>
        <v>173</v>
      </c>
      <c r="G61" s="19">
        <f>F61</f>
        <v>173</v>
      </c>
    </row>
    <row r="62">
      <c r="A62" s="12">
        <v>2.0</v>
      </c>
      <c r="B62" s="12" t="s">
        <v>104</v>
      </c>
      <c r="C62" s="13" t="s">
        <v>132</v>
      </c>
      <c r="D62" s="14">
        <v>182.0</v>
      </c>
      <c r="E62" s="16"/>
      <c r="F62" s="14">
        <f t="shared" si="7"/>
        <v>182</v>
      </c>
      <c r="G62" s="19">
        <f t="shared" ref="G62:G84" si="8">G61+F62</f>
        <v>355</v>
      </c>
    </row>
    <row r="63">
      <c r="A63" s="12">
        <v>3.0</v>
      </c>
      <c r="B63" s="12" t="s">
        <v>104</v>
      </c>
      <c r="C63" s="13" t="s">
        <v>132</v>
      </c>
      <c r="D63" s="14">
        <v>191.0</v>
      </c>
      <c r="E63" s="16"/>
      <c r="F63" s="14">
        <f t="shared" si="7"/>
        <v>191</v>
      </c>
      <c r="G63" s="19">
        <f t="shared" si="8"/>
        <v>546</v>
      </c>
    </row>
    <row r="64">
      <c r="A64" s="12">
        <v>4.0</v>
      </c>
      <c r="B64" s="12" t="s">
        <v>75</v>
      </c>
      <c r="C64" s="13" t="s">
        <v>111</v>
      </c>
      <c r="D64" s="14">
        <v>201.0</v>
      </c>
      <c r="E64" s="16"/>
      <c r="F64" s="14">
        <f t="shared" si="7"/>
        <v>201</v>
      </c>
      <c r="G64" s="19">
        <f t="shared" si="8"/>
        <v>747</v>
      </c>
    </row>
    <row r="65">
      <c r="A65" s="12">
        <v>5.0</v>
      </c>
      <c r="B65" s="12" t="s">
        <v>106</v>
      </c>
      <c r="C65" s="13" t="s">
        <v>133</v>
      </c>
      <c r="D65" s="14">
        <v>211.0</v>
      </c>
      <c r="E65" s="16"/>
      <c r="F65" s="14">
        <f t="shared" si="7"/>
        <v>211</v>
      </c>
      <c r="G65" s="19">
        <f t="shared" si="8"/>
        <v>958</v>
      </c>
    </row>
    <row r="66">
      <c r="A66" s="12">
        <v>6.0</v>
      </c>
      <c r="B66" s="12" t="s">
        <v>106</v>
      </c>
      <c r="C66" s="13" t="s">
        <v>133</v>
      </c>
      <c r="D66" s="14">
        <v>222.0</v>
      </c>
      <c r="E66" s="16"/>
      <c r="F66" s="14">
        <f t="shared" si="7"/>
        <v>222</v>
      </c>
      <c r="G66" s="19">
        <f t="shared" si="8"/>
        <v>1180</v>
      </c>
    </row>
    <row r="67">
      <c r="A67" s="12">
        <v>7.0</v>
      </c>
      <c r="B67" s="12" t="s">
        <v>51</v>
      </c>
      <c r="C67" s="13" t="s">
        <v>69</v>
      </c>
      <c r="D67" s="14">
        <v>233.0</v>
      </c>
      <c r="E67" s="16"/>
      <c r="F67" s="14">
        <f t="shared" si="7"/>
        <v>233</v>
      </c>
      <c r="G67" s="19">
        <f t="shared" si="8"/>
        <v>1413</v>
      </c>
    </row>
    <row r="68">
      <c r="A68" s="12">
        <v>8.0</v>
      </c>
      <c r="B68" s="12" t="s">
        <v>51</v>
      </c>
      <c r="C68" s="13" t="s">
        <v>69</v>
      </c>
      <c r="D68" s="14">
        <v>244.0</v>
      </c>
      <c r="E68" s="16"/>
      <c r="F68" s="14">
        <f t="shared" si="7"/>
        <v>244</v>
      </c>
      <c r="G68" s="19">
        <f t="shared" si="8"/>
        <v>1657</v>
      </c>
    </row>
    <row r="69">
      <c r="A69" s="12">
        <v>9.0</v>
      </c>
      <c r="B69" s="12" t="s">
        <v>51</v>
      </c>
      <c r="C69" s="13" t="s">
        <v>69</v>
      </c>
      <c r="D69" s="14">
        <v>257.0</v>
      </c>
      <c r="E69" s="16"/>
      <c r="F69" s="14">
        <f t="shared" si="7"/>
        <v>257</v>
      </c>
      <c r="G69" s="19">
        <f t="shared" si="8"/>
        <v>1914</v>
      </c>
    </row>
    <row r="70">
      <c r="A70" s="12">
        <v>10.0</v>
      </c>
      <c r="B70" s="12" t="s">
        <v>106</v>
      </c>
      <c r="C70" s="13" t="s">
        <v>133</v>
      </c>
      <c r="D70" s="14">
        <v>222.0</v>
      </c>
      <c r="E70" s="16"/>
      <c r="F70" s="14">
        <f t="shared" si="7"/>
        <v>222</v>
      </c>
      <c r="G70" s="19">
        <f t="shared" si="8"/>
        <v>2136</v>
      </c>
    </row>
    <row r="71">
      <c r="A71" s="12">
        <v>11.0</v>
      </c>
      <c r="B71" s="12" t="s">
        <v>93</v>
      </c>
      <c r="C71" s="13" t="s">
        <v>136</v>
      </c>
      <c r="D71" s="14">
        <v>173.0</v>
      </c>
      <c r="E71" s="16"/>
      <c r="F71" s="14">
        <f t="shared" si="7"/>
        <v>173</v>
      </c>
      <c r="G71" s="19">
        <f t="shared" si="8"/>
        <v>2309</v>
      </c>
    </row>
    <row r="72">
      <c r="A72" s="12">
        <v>12.0</v>
      </c>
      <c r="B72" s="12" t="s">
        <v>93</v>
      </c>
      <c r="C72" s="13" t="s">
        <v>136</v>
      </c>
      <c r="D72" s="14">
        <v>182.0</v>
      </c>
      <c r="E72" s="16"/>
      <c r="F72" s="14">
        <f t="shared" si="7"/>
        <v>182</v>
      </c>
      <c r="G72" s="19">
        <f t="shared" si="8"/>
        <v>2491</v>
      </c>
    </row>
    <row r="73">
      <c r="A73" s="12">
        <v>13.0</v>
      </c>
      <c r="B73" s="12" t="s">
        <v>93</v>
      </c>
      <c r="C73" s="13" t="s">
        <v>136</v>
      </c>
      <c r="D73" s="14">
        <v>191.0</v>
      </c>
      <c r="E73" s="16"/>
      <c r="F73" s="14">
        <f t="shared" si="7"/>
        <v>191</v>
      </c>
      <c r="G73" s="19">
        <f t="shared" si="8"/>
        <v>2682</v>
      </c>
    </row>
    <row r="74">
      <c r="A74" s="12">
        <v>14.0</v>
      </c>
      <c r="B74" s="12" t="s">
        <v>64</v>
      </c>
      <c r="C74" s="13" t="s">
        <v>121</v>
      </c>
      <c r="D74" s="14">
        <v>201.0</v>
      </c>
      <c r="E74" s="16"/>
      <c r="F74" s="14">
        <f t="shared" si="7"/>
        <v>201</v>
      </c>
      <c r="G74" s="19">
        <f t="shared" si="8"/>
        <v>2883</v>
      </c>
    </row>
    <row r="75">
      <c r="A75" s="12">
        <v>15.0</v>
      </c>
      <c r="B75" s="12" t="s">
        <v>99</v>
      </c>
      <c r="C75" s="13" t="s">
        <v>137</v>
      </c>
      <c r="D75" s="14">
        <v>211.0</v>
      </c>
      <c r="E75" s="16"/>
      <c r="F75" s="14">
        <f t="shared" si="7"/>
        <v>211</v>
      </c>
      <c r="G75" s="19">
        <f t="shared" si="8"/>
        <v>3094</v>
      </c>
    </row>
    <row r="76">
      <c r="A76" s="12">
        <v>16.0</v>
      </c>
      <c r="B76" s="12" t="s">
        <v>99</v>
      </c>
      <c r="C76" s="13" t="s">
        <v>137</v>
      </c>
      <c r="D76" s="14">
        <v>222.0</v>
      </c>
      <c r="E76" s="16"/>
      <c r="F76" s="14">
        <f t="shared" si="7"/>
        <v>222</v>
      </c>
      <c r="G76" s="19">
        <f t="shared" si="8"/>
        <v>3316</v>
      </c>
    </row>
    <row r="77">
      <c r="A77" s="12">
        <v>17.0</v>
      </c>
      <c r="B77" s="12" t="s">
        <v>75</v>
      </c>
      <c r="C77" s="13" t="s">
        <v>111</v>
      </c>
      <c r="D77" s="14">
        <v>233.0</v>
      </c>
      <c r="E77" s="16"/>
      <c r="F77" s="14">
        <f t="shared" si="7"/>
        <v>233</v>
      </c>
      <c r="G77" s="19">
        <f t="shared" si="8"/>
        <v>3549</v>
      </c>
    </row>
    <row r="78">
      <c r="A78" s="12">
        <v>18.0</v>
      </c>
      <c r="B78" s="12" t="s">
        <v>140</v>
      </c>
      <c r="C78" s="23" t="s">
        <v>141</v>
      </c>
      <c r="D78" s="14">
        <v>1101.0</v>
      </c>
      <c r="E78" s="16"/>
      <c r="F78" s="14">
        <f t="shared" si="7"/>
        <v>1101</v>
      </c>
      <c r="G78" s="19">
        <f t="shared" si="8"/>
        <v>4650</v>
      </c>
    </row>
    <row r="79">
      <c r="A79" s="12">
        <v>19.0</v>
      </c>
      <c r="B79" s="12" t="s">
        <v>64</v>
      </c>
      <c r="C79" s="13" t="s">
        <v>121</v>
      </c>
      <c r="D79" s="14">
        <v>244.0</v>
      </c>
      <c r="E79" s="16"/>
      <c r="F79" s="14">
        <f t="shared" si="7"/>
        <v>244</v>
      </c>
      <c r="G79" s="19">
        <f t="shared" si="8"/>
        <v>4894</v>
      </c>
    </row>
    <row r="80">
      <c r="A80" s="12">
        <v>20.0</v>
      </c>
      <c r="B80" s="12" t="s">
        <v>99</v>
      </c>
      <c r="C80" s="13" t="s">
        <v>137</v>
      </c>
      <c r="D80" s="14">
        <v>222.0</v>
      </c>
      <c r="E80" s="16"/>
      <c r="F80" s="14">
        <f t="shared" si="7"/>
        <v>222</v>
      </c>
      <c r="G80" s="19">
        <f t="shared" si="8"/>
        <v>5116</v>
      </c>
    </row>
    <row r="81">
      <c r="A81" s="12">
        <v>21.0</v>
      </c>
      <c r="B81" s="12" t="s">
        <v>47</v>
      </c>
      <c r="C81" s="13" t="s">
        <v>81</v>
      </c>
      <c r="D81" s="14">
        <v>233.0</v>
      </c>
      <c r="E81" s="16"/>
      <c r="F81" s="14">
        <f t="shared" si="7"/>
        <v>233</v>
      </c>
      <c r="G81" s="19">
        <f t="shared" si="8"/>
        <v>5349</v>
      </c>
    </row>
    <row r="82">
      <c r="A82" s="12">
        <v>22.0</v>
      </c>
      <c r="B82" s="12" t="s">
        <v>47</v>
      </c>
      <c r="C82" s="13" t="s">
        <v>81</v>
      </c>
      <c r="D82" s="14">
        <v>244.0</v>
      </c>
      <c r="E82" s="16"/>
      <c r="F82" s="14">
        <f t="shared" si="7"/>
        <v>244</v>
      </c>
      <c r="G82" s="19">
        <f t="shared" si="8"/>
        <v>5593</v>
      </c>
    </row>
    <row r="83">
      <c r="A83" s="12">
        <v>23.0</v>
      </c>
      <c r="B83" s="12" t="s">
        <v>47</v>
      </c>
      <c r="C83" s="13" t="s">
        <v>81</v>
      </c>
      <c r="D83" s="14">
        <v>257.0</v>
      </c>
      <c r="E83" s="16"/>
      <c r="F83" s="14">
        <f t="shared" si="7"/>
        <v>257</v>
      </c>
      <c r="G83" s="19">
        <f t="shared" si="8"/>
        <v>5850</v>
      </c>
    </row>
    <row r="84">
      <c r="A84" s="12">
        <v>24.0</v>
      </c>
      <c r="B84" s="12" t="s">
        <v>22</v>
      </c>
      <c r="C84" s="13" t="s">
        <v>143</v>
      </c>
      <c r="D84" s="14">
        <v>458.0</v>
      </c>
      <c r="E84" s="14">
        <v>481.0</v>
      </c>
      <c r="F84" s="14">
        <f t="shared" si="7"/>
        <v>939</v>
      </c>
      <c r="G84" s="19">
        <f t="shared" si="8"/>
        <v>6789</v>
      </c>
    </row>
    <row r="85">
      <c r="A85" s="24"/>
      <c r="B85" s="24"/>
      <c r="C85" s="26"/>
      <c r="D85" s="27">
        <v>25.0</v>
      </c>
      <c r="E85" s="28"/>
      <c r="F85" s="27">
        <f>SUM(F61:F84)</f>
        <v>6789</v>
      </c>
      <c r="G85" s="29">
        <f>G84</f>
        <v>6789</v>
      </c>
    </row>
  </sheetData>
  <mergeCells count="4">
    <mergeCell ref="A1:G2"/>
    <mergeCell ref="A17:G18"/>
    <mergeCell ref="A36:G37"/>
    <mergeCell ref="A58:G59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56.86"/>
    <col customWidth="1" min="4" max="5" width="7.14"/>
    <col customWidth="1" min="6" max="6" width="6.57"/>
    <col customWidth="1" min="7" max="7" width="8.57"/>
  </cols>
  <sheetData>
    <row r="1">
      <c r="A1" s="4" t="s">
        <v>2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12</v>
      </c>
      <c r="C4" s="13" t="s">
        <v>13</v>
      </c>
      <c r="D4" s="14">
        <v>73.0</v>
      </c>
      <c r="E4" s="16"/>
      <c r="F4" s="14">
        <f t="shared" ref="F4:F14" si="1">SUM(D4:E4)</f>
        <v>73</v>
      </c>
      <c r="G4" s="19">
        <f>F4</f>
        <v>73</v>
      </c>
    </row>
    <row r="5">
      <c r="A5" s="12">
        <v>2.0</v>
      </c>
      <c r="B5" s="12" t="s">
        <v>22</v>
      </c>
      <c r="C5" s="13" t="s">
        <v>23</v>
      </c>
      <c r="D5" s="14">
        <v>76.0</v>
      </c>
      <c r="E5" s="16"/>
      <c r="F5" s="14">
        <f t="shared" si="1"/>
        <v>76</v>
      </c>
      <c r="G5" s="19">
        <f t="shared" ref="G5:G14" si="2">G4+F5</f>
        <v>149</v>
      </c>
    </row>
    <row r="6">
      <c r="A6" s="12">
        <v>3.0</v>
      </c>
      <c r="B6" s="12" t="s">
        <v>12</v>
      </c>
      <c r="C6" s="13" t="s">
        <v>13</v>
      </c>
      <c r="D6" s="14">
        <v>80.0</v>
      </c>
      <c r="E6" s="16"/>
      <c r="F6" s="14">
        <f t="shared" si="1"/>
        <v>80</v>
      </c>
      <c r="G6" s="19">
        <f t="shared" si="2"/>
        <v>229</v>
      </c>
    </row>
    <row r="7">
      <c r="A7" s="12">
        <v>4.0</v>
      </c>
      <c r="B7" s="12" t="s">
        <v>25</v>
      </c>
      <c r="C7" s="13" t="s">
        <v>26</v>
      </c>
      <c r="D7" s="14">
        <v>84.0</v>
      </c>
      <c r="E7" s="16"/>
      <c r="F7" s="14">
        <f t="shared" si="1"/>
        <v>84</v>
      </c>
      <c r="G7" s="19">
        <f t="shared" si="2"/>
        <v>313</v>
      </c>
    </row>
    <row r="8">
      <c r="A8" s="12">
        <v>5.0</v>
      </c>
      <c r="B8" s="12" t="s">
        <v>28</v>
      </c>
      <c r="C8" s="13" t="s">
        <v>29</v>
      </c>
      <c r="D8" s="14">
        <v>151.0</v>
      </c>
      <c r="E8" s="14">
        <v>158.0</v>
      </c>
      <c r="F8" s="14">
        <f t="shared" si="1"/>
        <v>309</v>
      </c>
      <c r="G8" s="19">
        <f t="shared" si="2"/>
        <v>622</v>
      </c>
    </row>
    <row r="9">
      <c r="A9" s="12">
        <v>6.0</v>
      </c>
      <c r="B9" s="12" t="s">
        <v>25</v>
      </c>
      <c r="C9" s="13" t="s">
        <v>26</v>
      </c>
      <c r="D9" s="14">
        <v>93.0</v>
      </c>
      <c r="E9" s="16"/>
      <c r="F9" s="14">
        <f t="shared" si="1"/>
        <v>93</v>
      </c>
      <c r="G9" s="19">
        <f t="shared" si="2"/>
        <v>715</v>
      </c>
    </row>
    <row r="10">
      <c r="A10" s="12">
        <v>7.0</v>
      </c>
      <c r="B10" s="12" t="s">
        <v>12</v>
      </c>
      <c r="C10" s="13" t="s">
        <v>13</v>
      </c>
      <c r="D10" s="14">
        <v>98.0</v>
      </c>
      <c r="E10" s="16"/>
      <c r="F10" s="14">
        <f t="shared" si="1"/>
        <v>98</v>
      </c>
      <c r="G10" s="19">
        <f t="shared" si="2"/>
        <v>813</v>
      </c>
    </row>
    <row r="11">
      <c r="A11" s="12">
        <v>8.0</v>
      </c>
      <c r="B11" s="12" t="s">
        <v>22</v>
      </c>
      <c r="C11" s="13" t="s">
        <v>23</v>
      </c>
      <c r="D11" s="14">
        <v>103.0</v>
      </c>
      <c r="E11" s="16"/>
      <c r="F11" s="14">
        <f t="shared" si="1"/>
        <v>103</v>
      </c>
      <c r="G11" s="19">
        <f t="shared" si="2"/>
        <v>916</v>
      </c>
    </row>
    <row r="12">
      <c r="A12" s="12">
        <v>9.0</v>
      </c>
      <c r="B12" s="12" t="s">
        <v>25</v>
      </c>
      <c r="C12" s="13" t="s">
        <v>26</v>
      </c>
      <c r="D12" s="14">
        <v>108.0</v>
      </c>
      <c r="E12" s="16"/>
      <c r="F12" s="14">
        <f t="shared" si="1"/>
        <v>108</v>
      </c>
      <c r="G12" s="19">
        <f t="shared" si="2"/>
        <v>1024</v>
      </c>
    </row>
    <row r="13">
      <c r="A13" s="12">
        <v>10.0</v>
      </c>
      <c r="B13" s="12" t="s">
        <v>22</v>
      </c>
      <c r="C13" s="13" t="s">
        <v>23</v>
      </c>
      <c r="D13" s="14">
        <v>113.0</v>
      </c>
      <c r="E13" s="16"/>
      <c r="F13" s="14">
        <f t="shared" si="1"/>
        <v>113</v>
      </c>
      <c r="G13" s="19">
        <f t="shared" si="2"/>
        <v>1137</v>
      </c>
    </row>
    <row r="14">
      <c r="A14" s="12">
        <v>11.0</v>
      </c>
      <c r="B14" s="12" t="s">
        <v>33</v>
      </c>
      <c r="C14" s="23" t="s">
        <v>35</v>
      </c>
      <c r="D14" s="14">
        <v>537.0</v>
      </c>
      <c r="E14" s="16"/>
      <c r="F14" s="14">
        <f t="shared" si="1"/>
        <v>537</v>
      </c>
      <c r="G14" s="19">
        <f t="shared" si="2"/>
        <v>1674</v>
      </c>
    </row>
    <row r="15">
      <c r="A15" s="24"/>
      <c r="B15" s="24"/>
      <c r="C15" s="26"/>
      <c r="D15" s="27">
        <v>12.0</v>
      </c>
      <c r="E15" s="28"/>
      <c r="F15" s="27">
        <f>SUM(F4:F14)</f>
        <v>1674</v>
      </c>
      <c r="G15" s="29">
        <f>G14</f>
        <v>1674</v>
      </c>
    </row>
    <row r="16">
      <c r="C16" s="30"/>
      <c r="G16" s="30"/>
    </row>
    <row r="17">
      <c r="A17" s="4" t="s">
        <v>38</v>
      </c>
      <c r="B17" s="5"/>
      <c r="C17" s="5"/>
      <c r="D17" s="5"/>
      <c r="E17" s="5"/>
      <c r="F17" s="5"/>
      <c r="G17" s="6"/>
    </row>
    <row r="18">
      <c r="A18" s="7"/>
      <c r="B18" s="8"/>
      <c r="C18" s="8"/>
      <c r="D18" s="8"/>
      <c r="E18" s="8"/>
      <c r="F18" s="8"/>
      <c r="G18" s="9"/>
    </row>
    <row r="19">
      <c r="A19" s="10"/>
      <c r="B19" s="10" t="s">
        <v>6</v>
      </c>
      <c r="C19" s="11" t="s">
        <v>7</v>
      </c>
      <c r="D19" s="10" t="s">
        <v>8</v>
      </c>
      <c r="E19" s="10" t="s">
        <v>9</v>
      </c>
      <c r="F19" s="10" t="s">
        <v>10</v>
      </c>
      <c r="G19" s="11" t="s">
        <v>11</v>
      </c>
    </row>
    <row r="20">
      <c r="A20" s="12">
        <v>1.0</v>
      </c>
      <c r="B20" s="12" t="s">
        <v>40</v>
      </c>
      <c r="C20" s="13" t="s">
        <v>41</v>
      </c>
      <c r="D20" s="14">
        <v>112.0</v>
      </c>
      <c r="E20" s="16"/>
      <c r="F20" s="14">
        <f t="shared" ref="F20:F33" si="3">SUM(D20:E20)</f>
        <v>112</v>
      </c>
      <c r="G20" s="19">
        <f>F20</f>
        <v>112</v>
      </c>
    </row>
    <row r="21">
      <c r="A21" s="12">
        <v>2.0</v>
      </c>
      <c r="B21" s="12" t="s">
        <v>43</v>
      </c>
      <c r="C21" s="13" t="s">
        <v>44</v>
      </c>
      <c r="D21" s="14">
        <v>112.0</v>
      </c>
      <c r="E21" s="16"/>
      <c r="F21" s="14">
        <f t="shared" si="3"/>
        <v>112</v>
      </c>
      <c r="G21" s="19">
        <f t="shared" ref="G21:G33" si="4">G20+F21</f>
        <v>224</v>
      </c>
    </row>
    <row r="22">
      <c r="A22" s="12">
        <v>3.0</v>
      </c>
      <c r="B22" s="12" t="s">
        <v>45</v>
      </c>
      <c r="C22" s="13" t="s">
        <v>46</v>
      </c>
      <c r="D22" s="14">
        <v>200.0</v>
      </c>
      <c r="E22" s="14">
        <v>210.0</v>
      </c>
      <c r="F22" s="14">
        <f t="shared" si="3"/>
        <v>410</v>
      </c>
      <c r="G22" s="19">
        <f t="shared" si="4"/>
        <v>634</v>
      </c>
    </row>
    <row r="23">
      <c r="A23" s="12">
        <v>4.0</v>
      </c>
      <c r="B23" s="12" t="s">
        <v>40</v>
      </c>
      <c r="C23" s="13" t="s">
        <v>41</v>
      </c>
      <c r="D23" s="14">
        <v>124.0</v>
      </c>
      <c r="E23" s="16"/>
      <c r="F23" s="14">
        <f t="shared" si="3"/>
        <v>124</v>
      </c>
      <c r="G23" s="19">
        <f t="shared" si="4"/>
        <v>758</v>
      </c>
    </row>
    <row r="24">
      <c r="A24" s="12">
        <v>5.0</v>
      </c>
      <c r="B24" s="12" t="s">
        <v>40</v>
      </c>
      <c r="C24" s="13" t="s">
        <v>41</v>
      </c>
      <c r="D24" s="14">
        <v>130.0</v>
      </c>
      <c r="E24" s="16"/>
      <c r="F24" s="14">
        <f t="shared" si="3"/>
        <v>130</v>
      </c>
      <c r="G24" s="19">
        <f t="shared" si="4"/>
        <v>888</v>
      </c>
    </row>
    <row r="25">
      <c r="A25" s="12">
        <v>6.0</v>
      </c>
      <c r="B25" s="12" t="s">
        <v>47</v>
      </c>
      <c r="C25" s="13" t="s">
        <v>48</v>
      </c>
      <c r="D25" s="14">
        <v>136.0</v>
      </c>
      <c r="E25" s="16"/>
      <c r="F25" s="14">
        <f t="shared" si="3"/>
        <v>136</v>
      </c>
      <c r="G25" s="19">
        <f t="shared" si="4"/>
        <v>1024</v>
      </c>
    </row>
    <row r="26">
      <c r="A26" s="12">
        <v>7.0</v>
      </c>
      <c r="B26" s="12" t="s">
        <v>40</v>
      </c>
      <c r="C26" s="13" t="s">
        <v>41</v>
      </c>
      <c r="D26" s="14">
        <v>143.0</v>
      </c>
      <c r="E26" s="16"/>
      <c r="F26" s="14">
        <f t="shared" si="3"/>
        <v>143</v>
      </c>
      <c r="G26" s="19">
        <f t="shared" si="4"/>
        <v>1167</v>
      </c>
    </row>
    <row r="27">
      <c r="A27" s="12">
        <v>8.0</v>
      </c>
      <c r="B27" s="12" t="s">
        <v>40</v>
      </c>
      <c r="C27" s="13" t="s">
        <v>41</v>
      </c>
      <c r="D27" s="14">
        <v>150.0</v>
      </c>
      <c r="E27" s="16"/>
      <c r="F27" s="14">
        <f t="shared" si="3"/>
        <v>150</v>
      </c>
      <c r="G27" s="19">
        <f t="shared" si="4"/>
        <v>1317</v>
      </c>
    </row>
    <row r="28">
      <c r="A28" s="12">
        <v>9.0</v>
      </c>
      <c r="B28" s="12" t="s">
        <v>43</v>
      </c>
      <c r="C28" s="13" t="s">
        <v>44</v>
      </c>
      <c r="D28" s="14">
        <v>124.0</v>
      </c>
      <c r="E28" s="16"/>
      <c r="F28" s="14">
        <f t="shared" si="3"/>
        <v>124</v>
      </c>
      <c r="G28" s="19">
        <f t="shared" si="4"/>
        <v>1441</v>
      </c>
    </row>
    <row r="29">
      <c r="A29" s="12">
        <v>10.0</v>
      </c>
      <c r="B29" s="12" t="s">
        <v>43</v>
      </c>
      <c r="C29" s="13" t="s">
        <v>44</v>
      </c>
      <c r="D29" s="14">
        <v>130.0</v>
      </c>
      <c r="E29" s="16"/>
      <c r="F29" s="14">
        <f t="shared" si="3"/>
        <v>130</v>
      </c>
      <c r="G29" s="19">
        <f t="shared" si="4"/>
        <v>1571</v>
      </c>
    </row>
    <row r="30">
      <c r="A30" s="12">
        <v>11.0</v>
      </c>
      <c r="B30" s="12" t="s">
        <v>51</v>
      </c>
      <c r="C30" s="13" t="s">
        <v>52</v>
      </c>
      <c r="D30" s="14">
        <v>136.0</v>
      </c>
      <c r="E30" s="16"/>
      <c r="F30" s="14">
        <f t="shared" si="3"/>
        <v>136</v>
      </c>
      <c r="G30" s="19">
        <f t="shared" si="4"/>
        <v>1707</v>
      </c>
    </row>
    <row r="31">
      <c r="A31" s="12">
        <v>12.0</v>
      </c>
      <c r="B31" s="12" t="s">
        <v>43</v>
      </c>
      <c r="C31" s="13" t="s">
        <v>44</v>
      </c>
      <c r="D31" s="14">
        <v>143.0</v>
      </c>
      <c r="E31" s="16"/>
      <c r="F31" s="14">
        <f t="shared" si="3"/>
        <v>143</v>
      </c>
      <c r="G31" s="19">
        <f t="shared" si="4"/>
        <v>1850</v>
      </c>
    </row>
    <row r="32">
      <c r="A32" s="12">
        <v>13.0</v>
      </c>
      <c r="B32" s="12" t="s">
        <v>43</v>
      </c>
      <c r="C32" s="13" t="s">
        <v>44</v>
      </c>
      <c r="D32" s="14">
        <v>150.0</v>
      </c>
      <c r="E32" s="16"/>
      <c r="F32" s="14">
        <f t="shared" si="3"/>
        <v>150</v>
      </c>
      <c r="G32" s="19">
        <f t="shared" si="4"/>
        <v>2000</v>
      </c>
    </row>
    <row r="33">
      <c r="A33" s="12">
        <v>14.0</v>
      </c>
      <c r="B33" s="12" t="s">
        <v>55</v>
      </c>
      <c r="C33" s="13" t="s">
        <v>56</v>
      </c>
      <c r="D33" s="14">
        <v>712.0</v>
      </c>
      <c r="E33" s="16"/>
      <c r="F33" s="14">
        <f t="shared" si="3"/>
        <v>712</v>
      </c>
      <c r="G33" s="19">
        <f t="shared" si="4"/>
        <v>2712</v>
      </c>
    </row>
    <row r="34">
      <c r="A34" s="24"/>
      <c r="B34" s="24"/>
      <c r="C34" s="26"/>
      <c r="D34" s="27">
        <v>15.0</v>
      </c>
      <c r="E34" s="28"/>
      <c r="F34" s="27">
        <f>SUM(F20:F33)</f>
        <v>2712</v>
      </c>
      <c r="G34" s="29">
        <f>G33</f>
        <v>2712</v>
      </c>
    </row>
    <row r="35">
      <c r="C35" s="30"/>
      <c r="G35" s="30"/>
    </row>
    <row r="36">
      <c r="A36" s="4" t="s">
        <v>58</v>
      </c>
      <c r="B36" s="5"/>
      <c r="C36" s="5"/>
      <c r="D36" s="5"/>
      <c r="E36" s="5"/>
      <c r="F36" s="5"/>
      <c r="G36" s="6"/>
    </row>
    <row r="37">
      <c r="A37" s="7"/>
      <c r="B37" s="8"/>
      <c r="C37" s="8"/>
      <c r="D37" s="8"/>
      <c r="E37" s="8"/>
      <c r="F37" s="8"/>
      <c r="G37" s="9"/>
    </row>
    <row r="38">
      <c r="A38" s="10"/>
      <c r="B38" s="10" t="s">
        <v>6</v>
      </c>
      <c r="C38" s="11" t="s">
        <v>7</v>
      </c>
      <c r="D38" s="10" t="s">
        <v>8</v>
      </c>
      <c r="E38" s="10" t="s">
        <v>9</v>
      </c>
      <c r="F38" s="10" t="s">
        <v>10</v>
      </c>
      <c r="G38" s="11" t="s">
        <v>11</v>
      </c>
    </row>
    <row r="39">
      <c r="A39" s="12">
        <v>1.0</v>
      </c>
      <c r="B39" s="12" t="s">
        <v>60</v>
      </c>
      <c r="C39" s="13" t="s">
        <v>61</v>
      </c>
      <c r="D39" s="14">
        <v>157.0</v>
      </c>
      <c r="E39" s="16"/>
      <c r="F39" s="14">
        <f t="shared" ref="F39:F55" si="5">SUM(D39:E39)</f>
        <v>157</v>
      </c>
      <c r="G39" s="19">
        <f>F39</f>
        <v>157</v>
      </c>
    </row>
    <row r="40">
      <c r="A40" s="12">
        <v>2.0</v>
      </c>
      <c r="B40" s="12" t="s">
        <v>60</v>
      </c>
      <c r="C40" s="13" t="s">
        <v>61</v>
      </c>
      <c r="D40" s="14">
        <v>165.0</v>
      </c>
      <c r="E40" s="16"/>
      <c r="F40" s="14">
        <f t="shared" si="5"/>
        <v>165</v>
      </c>
      <c r="G40" s="19">
        <f t="shared" ref="G40:G55" si="6">G39+F40</f>
        <v>322</v>
      </c>
    </row>
    <row r="41">
      <c r="A41" s="12">
        <v>3.0</v>
      </c>
      <c r="B41" s="12" t="s">
        <v>60</v>
      </c>
      <c r="C41" s="13" t="s">
        <v>61</v>
      </c>
      <c r="D41" s="14">
        <v>173.0</v>
      </c>
      <c r="E41" s="16"/>
      <c r="F41" s="14">
        <f t="shared" si="5"/>
        <v>173</v>
      </c>
      <c r="G41" s="19">
        <f t="shared" si="6"/>
        <v>495</v>
      </c>
    </row>
    <row r="42">
      <c r="A42" s="12">
        <v>4.0</v>
      </c>
      <c r="B42" s="12" t="s">
        <v>64</v>
      </c>
      <c r="C42" s="13" t="s">
        <v>66</v>
      </c>
      <c r="D42" s="14">
        <v>182.0</v>
      </c>
      <c r="E42" s="16"/>
      <c r="F42" s="14">
        <f t="shared" si="5"/>
        <v>182</v>
      </c>
      <c r="G42" s="19">
        <f t="shared" si="6"/>
        <v>677</v>
      </c>
    </row>
    <row r="43">
      <c r="A43" s="12">
        <v>5.0</v>
      </c>
      <c r="B43" s="12" t="s">
        <v>67</v>
      </c>
      <c r="C43" s="13" t="s">
        <v>68</v>
      </c>
      <c r="D43" s="14">
        <v>157.0</v>
      </c>
      <c r="E43" s="16"/>
      <c r="F43" s="14">
        <f t="shared" si="5"/>
        <v>157</v>
      </c>
      <c r="G43" s="19">
        <f t="shared" si="6"/>
        <v>834</v>
      </c>
    </row>
    <row r="44">
      <c r="A44" s="12">
        <v>6.0</v>
      </c>
      <c r="B44" s="12" t="s">
        <v>67</v>
      </c>
      <c r="C44" s="13" t="s">
        <v>68</v>
      </c>
      <c r="D44" s="14">
        <v>165.0</v>
      </c>
      <c r="E44" s="16"/>
      <c r="F44" s="14">
        <f t="shared" si="5"/>
        <v>165</v>
      </c>
      <c r="G44" s="19">
        <f t="shared" si="6"/>
        <v>999</v>
      </c>
    </row>
    <row r="45">
      <c r="A45" s="12">
        <v>7.0</v>
      </c>
      <c r="B45" s="12" t="s">
        <v>67</v>
      </c>
      <c r="C45" s="13" t="s">
        <v>68</v>
      </c>
      <c r="D45" s="14">
        <v>173.0</v>
      </c>
      <c r="E45" s="16"/>
      <c r="F45" s="14">
        <f t="shared" si="5"/>
        <v>173</v>
      </c>
      <c r="G45" s="19">
        <f t="shared" si="6"/>
        <v>1172</v>
      </c>
    </row>
    <row r="46">
      <c r="A46" s="12">
        <v>8.0</v>
      </c>
      <c r="B46" s="12" t="s">
        <v>70</v>
      </c>
      <c r="C46" s="13" t="s">
        <v>71</v>
      </c>
      <c r="D46" s="14">
        <v>309.0</v>
      </c>
      <c r="E46" s="14">
        <v>325.0</v>
      </c>
      <c r="F46" s="14">
        <f t="shared" si="5"/>
        <v>634</v>
      </c>
      <c r="G46" s="19">
        <f t="shared" si="6"/>
        <v>1806</v>
      </c>
    </row>
    <row r="47">
      <c r="A47" s="12">
        <v>9.0</v>
      </c>
      <c r="B47" s="12" t="s">
        <v>72</v>
      </c>
      <c r="C47" s="13" t="s">
        <v>73</v>
      </c>
      <c r="D47" s="14">
        <v>157.0</v>
      </c>
      <c r="E47" s="16"/>
      <c r="F47" s="14">
        <f t="shared" si="5"/>
        <v>157</v>
      </c>
      <c r="G47" s="19">
        <f t="shared" si="6"/>
        <v>1963</v>
      </c>
    </row>
    <row r="48">
      <c r="A48" s="12">
        <v>10.0</v>
      </c>
      <c r="B48" s="12" t="s">
        <v>72</v>
      </c>
      <c r="C48" s="13" t="s">
        <v>73</v>
      </c>
      <c r="D48" s="14">
        <v>165.0</v>
      </c>
      <c r="E48" s="16"/>
      <c r="F48" s="14">
        <f t="shared" si="5"/>
        <v>165</v>
      </c>
      <c r="G48" s="19">
        <f t="shared" si="6"/>
        <v>2128</v>
      </c>
    </row>
    <row r="49">
      <c r="A49" s="12">
        <v>11.0</v>
      </c>
      <c r="B49" s="12" t="s">
        <v>72</v>
      </c>
      <c r="C49" s="13" t="s">
        <v>73</v>
      </c>
      <c r="D49" s="14">
        <v>173.0</v>
      </c>
      <c r="E49" s="16"/>
      <c r="F49" s="14">
        <f t="shared" si="5"/>
        <v>173</v>
      </c>
      <c r="G49" s="19">
        <f t="shared" si="6"/>
        <v>2301</v>
      </c>
    </row>
    <row r="50">
      <c r="A50" s="12">
        <v>12.0</v>
      </c>
      <c r="B50" s="12" t="s">
        <v>75</v>
      </c>
      <c r="C50" s="13" t="s">
        <v>76</v>
      </c>
      <c r="D50" s="14">
        <v>182.0</v>
      </c>
      <c r="E50" s="16"/>
      <c r="F50" s="14">
        <f t="shared" si="5"/>
        <v>182</v>
      </c>
      <c r="G50" s="19">
        <f t="shared" si="6"/>
        <v>2483</v>
      </c>
    </row>
    <row r="51">
      <c r="A51" s="12">
        <v>13.0</v>
      </c>
      <c r="B51" s="12" t="s">
        <v>77</v>
      </c>
      <c r="C51" s="23" t="s">
        <v>78</v>
      </c>
      <c r="D51" s="14">
        <v>860.0</v>
      </c>
      <c r="E51" s="16"/>
      <c r="F51" s="14">
        <f t="shared" si="5"/>
        <v>860</v>
      </c>
      <c r="G51" s="19">
        <f t="shared" si="6"/>
        <v>3343</v>
      </c>
    </row>
    <row r="52">
      <c r="A52" s="12">
        <v>14.0</v>
      </c>
      <c r="B52" s="12" t="s">
        <v>79</v>
      </c>
      <c r="C52" s="13" t="s">
        <v>80</v>
      </c>
      <c r="D52" s="14">
        <v>157.0</v>
      </c>
      <c r="E52" s="16"/>
      <c r="F52" s="14">
        <f t="shared" si="5"/>
        <v>157</v>
      </c>
      <c r="G52" s="19">
        <f t="shared" si="6"/>
        <v>3500</v>
      </c>
    </row>
    <row r="53">
      <c r="A53" s="12">
        <v>15.0</v>
      </c>
      <c r="B53" s="12" t="s">
        <v>79</v>
      </c>
      <c r="C53" s="13" t="s">
        <v>80</v>
      </c>
      <c r="D53" s="14">
        <v>165.0</v>
      </c>
      <c r="E53" s="16"/>
      <c r="F53" s="14">
        <f t="shared" si="5"/>
        <v>165</v>
      </c>
      <c r="G53" s="19">
        <f t="shared" si="6"/>
        <v>3665</v>
      </c>
    </row>
    <row r="54">
      <c r="A54" s="12">
        <v>16.0</v>
      </c>
      <c r="B54" s="12" t="s">
        <v>79</v>
      </c>
      <c r="C54" s="13" t="s">
        <v>80</v>
      </c>
      <c r="D54" s="14">
        <v>173.0</v>
      </c>
      <c r="E54" s="16"/>
      <c r="F54" s="14">
        <f t="shared" si="5"/>
        <v>173</v>
      </c>
      <c r="G54" s="19">
        <f t="shared" si="6"/>
        <v>3838</v>
      </c>
    </row>
    <row r="55">
      <c r="A55" s="12">
        <v>17.0</v>
      </c>
      <c r="B55" s="12" t="s">
        <v>83</v>
      </c>
      <c r="C55" s="13" t="s">
        <v>84</v>
      </c>
      <c r="D55" s="14">
        <v>309.0</v>
      </c>
      <c r="E55" s="14">
        <v>325.0</v>
      </c>
      <c r="F55" s="14">
        <f t="shared" si="5"/>
        <v>634</v>
      </c>
      <c r="G55" s="19">
        <f t="shared" si="6"/>
        <v>4472</v>
      </c>
    </row>
    <row r="56">
      <c r="A56" s="24"/>
      <c r="B56" s="24"/>
      <c r="C56" s="26"/>
      <c r="D56" s="27">
        <v>19.0</v>
      </c>
      <c r="E56" s="28"/>
      <c r="F56" s="27">
        <f>SUM(F39:F55)</f>
        <v>4472</v>
      </c>
      <c r="G56" s="29">
        <f>G55</f>
        <v>4472</v>
      </c>
    </row>
    <row r="57">
      <c r="C57" s="30"/>
      <c r="G57" s="30"/>
    </row>
    <row r="58">
      <c r="A58" s="4" t="s">
        <v>87</v>
      </c>
      <c r="B58" s="5"/>
      <c r="C58" s="5"/>
      <c r="D58" s="5"/>
      <c r="E58" s="5"/>
      <c r="F58" s="5"/>
      <c r="G58" s="6"/>
    </row>
    <row r="59">
      <c r="A59" s="7"/>
      <c r="B59" s="8"/>
      <c r="C59" s="8"/>
      <c r="D59" s="8"/>
      <c r="E59" s="8"/>
      <c r="F59" s="8"/>
      <c r="G59" s="9"/>
    </row>
    <row r="60">
      <c r="A60" s="10"/>
      <c r="B60" s="10" t="s">
        <v>6</v>
      </c>
      <c r="C60" s="11" t="s">
        <v>7</v>
      </c>
      <c r="D60" s="10" t="s">
        <v>8</v>
      </c>
      <c r="E60" s="10" t="s">
        <v>9</v>
      </c>
      <c r="F60" s="10" t="s">
        <v>10</v>
      </c>
      <c r="G60" s="11" t="s">
        <v>11</v>
      </c>
    </row>
    <row r="61">
      <c r="A61" s="12">
        <v>1.0</v>
      </c>
      <c r="B61" s="12" t="s">
        <v>93</v>
      </c>
      <c r="C61" s="13" t="s">
        <v>94</v>
      </c>
      <c r="D61" s="14">
        <v>173.0</v>
      </c>
      <c r="E61" s="16"/>
      <c r="F61" s="14">
        <f t="shared" ref="F61:F84" si="7">SUM(D61:E61)</f>
        <v>173</v>
      </c>
      <c r="G61" s="19">
        <f>F61</f>
        <v>173</v>
      </c>
    </row>
    <row r="62">
      <c r="A62" s="12">
        <v>2.0</v>
      </c>
      <c r="B62" s="12" t="s">
        <v>93</v>
      </c>
      <c r="C62" s="13" t="s">
        <v>94</v>
      </c>
      <c r="D62" s="14">
        <v>182.0</v>
      </c>
      <c r="E62" s="16"/>
      <c r="F62" s="14">
        <f t="shared" si="7"/>
        <v>182</v>
      </c>
      <c r="G62" s="19">
        <f t="shared" ref="G62:G84" si="8">G61+F62</f>
        <v>355</v>
      </c>
    </row>
    <row r="63">
      <c r="A63" s="12">
        <v>3.0</v>
      </c>
      <c r="B63" s="12" t="s">
        <v>93</v>
      </c>
      <c r="C63" s="13" t="s">
        <v>94</v>
      </c>
      <c r="D63" s="14">
        <v>191.0</v>
      </c>
      <c r="E63" s="16"/>
      <c r="F63" s="14">
        <f t="shared" si="7"/>
        <v>191</v>
      </c>
      <c r="G63" s="19">
        <f t="shared" si="8"/>
        <v>546</v>
      </c>
    </row>
    <row r="64">
      <c r="A64" s="12">
        <v>4.0</v>
      </c>
      <c r="B64" s="12" t="s">
        <v>64</v>
      </c>
      <c r="C64" s="13" t="s">
        <v>66</v>
      </c>
      <c r="D64" s="14">
        <v>201.0</v>
      </c>
      <c r="E64" s="16"/>
      <c r="F64" s="14">
        <f t="shared" si="7"/>
        <v>201</v>
      </c>
      <c r="G64" s="19">
        <f t="shared" si="8"/>
        <v>747</v>
      </c>
    </row>
    <row r="65">
      <c r="A65" s="12">
        <v>5.0</v>
      </c>
      <c r="B65" s="12" t="s">
        <v>99</v>
      </c>
      <c r="C65" s="13" t="s">
        <v>100</v>
      </c>
      <c r="D65" s="14">
        <v>211.0</v>
      </c>
      <c r="E65" s="16"/>
      <c r="F65" s="14">
        <f t="shared" si="7"/>
        <v>211</v>
      </c>
      <c r="G65" s="19">
        <f t="shared" si="8"/>
        <v>958</v>
      </c>
    </row>
    <row r="66">
      <c r="A66" s="12">
        <v>6.0</v>
      </c>
      <c r="B66" s="12" t="s">
        <v>99</v>
      </c>
      <c r="C66" s="13" t="s">
        <v>100</v>
      </c>
      <c r="D66" s="14">
        <v>222.0</v>
      </c>
      <c r="E66" s="16"/>
      <c r="F66" s="14">
        <f t="shared" si="7"/>
        <v>222</v>
      </c>
      <c r="G66" s="19">
        <f t="shared" si="8"/>
        <v>1180</v>
      </c>
    </row>
    <row r="67">
      <c r="A67" s="12">
        <v>7.0</v>
      </c>
      <c r="B67" s="12" t="s">
        <v>47</v>
      </c>
      <c r="C67" s="13" t="s">
        <v>48</v>
      </c>
      <c r="D67" s="14">
        <v>233.0</v>
      </c>
      <c r="E67" s="16"/>
      <c r="F67" s="14">
        <f t="shared" si="7"/>
        <v>233</v>
      </c>
      <c r="G67" s="19">
        <f t="shared" si="8"/>
        <v>1413</v>
      </c>
    </row>
    <row r="68">
      <c r="A68" s="12">
        <v>8.0</v>
      </c>
      <c r="B68" s="12" t="s">
        <v>47</v>
      </c>
      <c r="C68" s="13" t="s">
        <v>48</v>
      </c>
      <c r="D68" s="14">
        <v>244.0</v>
      </c>
      <c r="E68" s="16"/>
      <c r="F68" s="14">
        <f t="shared" si="7"/>
        <v>244</v>
      </c>
      <c r="G68" s="19">
        <f t="shared" si="8"/>
        <v>1657</v>
      </c>
    </row>
    <row r="69">
      <c r="A69" s="12">
        <v>9.0</v>
      </c>
      <c r="B69" s="12" t="s">
        <v>47</v>
      </c>
      <c r="C69" s="13" t="s">
        <v>48</v>
      </c>
      <c r="D69" s="14">
        <v>257.0</v>
      </c>
      <c r="E69" s="16"/>
      <c r="F69" s="14">
        <f t="shared" si="7"/>
        <v>257</v>
      </c>
      <c r="G69" s="19">
        <f t="shared" si="8"/>
        <v>1914</v>
      </c>
    </row>
    <row r="70">
      <c r="A70" s="12">
        <v>10.0</v>
      </c>
      <c r="B70" s="12" t="s">
        <v>99</v>
      </c>
      <c r="C70" s="13" t="s">
        <v>100</v>
      </c>
      <c r="D70" s="14">
        <v>222.0</v>
      </c>
      <c r="E70" s="16"/>
      <c r="F70" s="14">
        <f t="shared" si="7"/>
        <v>222</v>
      </c>
      <c r="G70" s="19">
        <f t="shared" si="8"/>
        <v>2136</v>
      </c>
    </row>
    <row r="71">
      <c r="A71" s="12">
        <v>11.0</v>
      </c>
      <c r="B71" s="12" t="s">
        <v>104</v>
      </c>
      <c r="C71" s="13" t="s">
        <v>105</v>
      </c>
      <c r="D71" s="14">
        <v>173.0</v>
      </c>
      <c r="E71" s="16"/>
      <c r="F71" s="14">
        <f t="shared" si="7"/>
        <v>173</v>
      </c>
      <c r="G71" s="19">
        <f t="shared" si="8"/>
        <v>2309</v>
      </c>
    </row>
    <row r="72">
      <c r="A72" s="12">
        <v>12.0</v>
      </c>
      <c r="B72" s="12" t="s">
        <v>104</v>
      </c>
      <c r="C72" s="13" t="s">
        <v>105</v>
      </c>
      <c r="D72" s="14">
        <v>182.0</v>
      </c>
      <c r="E72" s="16"/>
      <c r="F72" s="14">
        <f t="shared" si="7"/>
        <v>182</v>
      </c>
      <c r="G72" s="19">
        <f t="shared" si="8"/>
        <v>2491</v>
      </c>
    </row>
    <row r="73">
      <c r="A73" s="12">
        <v>13.0</v>
      </c>
      <c r="B73" s="12" t="s">
        <v>104</v>
      </c>
      <c r="C73" s="13" t="s">
        <v>105</v>
      </c>
      <c r="D73" s="14">
        <v>191.0</v>
      </c>
      <c r="E73" s="16"/>
      <c r="F73" s="14">
        <f t="shared" si="7"/>
        <v>191</v>
      </c>
      <c r="G73" s="19">
        <f t="shared" si="8"/>
        <v>2682</v>
      </c>
    </row>
    <row r="74">
      <c r="A74" s="12">
        <v>14.0</v>
      </c>
      <c r="B74" s="12" t="s">
        <v>75</v>
      </c>
      <c r="C74" s="13" t="s">
        <v>76</v>
      </c>
      <c r="D74" s="14">
        <v>201.0</v>
      </c>
      <c r="E74" s="16"/>
      <c r="F74" s="14">
        <f t="shared" si="7"/>
        <v>201</v>
      </c>
      <c r="G74" s="19">
        <f t="shared" si="8"/>
        <v>2883</v>
      </c>
    </row>
    <row r="75">
      <c r="A75" s="12">
        <v>15.0</v>
      </c>
      <c r="B75" s="12" t="s">
        <v>106</v>
      </c>
      <c r="C75" s="13" t="s">
        <v>107</v>
      </c>
      <c r="D75" s="14">
        <v>211.0</v>
      </c>
      <c r="E75" s="16"/>
      <c r="F75" s="14">
        <f t="shared" si="7"/>
        <v>211</v>
      </c>
      <c r="G75" s="19">
        <f t="shared" si="8"/>
        <v>3094</v>
      </c>
    </row>
    <row r="76">
      <c r="A76" s="12">
        <v>16.0</v>
      </c>
      <c r="B76" s="12" t="s">
        <v>106</v>
      </c>
      <c r="C76" s="13" t="s">
        <v>107</v>
      </c>
      <c r="D76" s="14">
        <v>222.0</v>
      </c>
      <c r="E76" s="16"/>
      <c r="F76" s="14">
        <f t="shared" si="7"/>
        <v>222</v>
      </c>
      <c r="G76" s="19">
        <f t="shared" si="8"/>
        <v>3316</v>
      </c>
    </row>
    <row r="77">
      <c r="A77" s="12">
        <v>17.0</v>
      </c>
      <c r="B77" s="12" t="s">
        <v>75</v>
      </c>
      <c r="C77" s="13" t="s">
        <v>76</v>
      </c>
      <c r="D77" s="14">
        <v>233.0</v>
      </c>
      <c r="E77" s="16"/>
      <c r="F77" s="14">
        <f t="shared" si="7"/>
        <v>233</v>
      </c>
      <c r="G77" s="19">
        <f t="shared" si="8"/>
        <v>3549</v>
      </c>
    </row>
    <row r="78">
      <c r="A78" s="12">
        <v>18.0</v>
      </c>
      <c r="B78" s="12" t="s">
        <v>109</v>
      </c>
      <c r="C78" s="23" t="s">
        <v>110</v>
      </c>
      <c r="D78" s="14">
        <v>1101.0</v>
      </c>
      <c r="E78" s="16"/>
      <c r="F78" s="14">
        <f t="shared" si="7"/>
        <v>1101</v>
      </c>
      <c r="G78" s="19">
        <f t="shared" si="8"/>
        <v>4650</v>
      </c>
    </row>
    <row r="79">
      <c r="A79" s="12">
        <v>19.0</v>
      </c>
      <c r="B79" s="12" t="s">
        <v>64</v>
      </c>
      <c r="C79" s="13" t="s">
        <v>66</v>
      </c>
      <c r="D79" s="14">
        <v>244.0</v>
      </c>
      <c r="E79" s="16"/>
      <c r="F79" s="14">
        <f t="shared" si="7"/>
        <v>244</v>
      </c>
      <c r="G79" s="19">
        <f t="shared" si="8"/>
        <v>4894</v>
      </c>
    </row>
    <row r="80">
      <c r="A80" s="12">
        <v>20.0</v>
      </c>
      <c r="B80" s="12" t="s">
        <v>106</v>
      </c>
      <c r="C80" s="13" t="s">
        <v>107</v>
      </c>
      <c r="D80" s="14">
        <v>222.0</v>
      </c>
      <c r="E80" s="16"/>
      <c r="F80" s="14">
        <f t="shared" si="7"/>
        <v>222</v>
      </c>
      <c r="G80" s="19">
        <f t="shared" si="8"/>
        <v>5116</v>
      </c>
    </row>
    <row r="81">
      <c r="A81" s="12">
        <v>21.0</v>
      </c>
      <c r="B81" s="12" t="s">
        <v>51</v>
      </c>
      <c r="C81" s="13" t="s">
        <v>52</v>
      </c>
      <c r="D81" s="14">
        <v>233.0</v>
      </c>
      <c r="E81" s="16"/>
      <c r="F81" s="14">
        <f t="shared" si="7"/>
        <v>233</v>
      </c>
      <c r="G81" s="19">
        <f t="shared" si="8"/>
        <v>5349</v>
      </c>
    </row>
    <row r="82">
      <c r="A82" s="12">
        <v>22.0</v>
      </c>
      <c r="B82" s="12" t="s">
        <v>51</v>
      </c>
      <c r="C82" s="13" t="s">
        <v>52</v>
      </c>
      <c r="D82" s="14">
        <v>244.0</v>
      </c>
      <c r="E82" s="16"/>
      <c r="F82" s="14">
        <f t="shared" si="7"/>
        <v>244</v>
      </c>
      <c r="G82" s="19">
        <f t="shared" si="8"/>
        <v>5593</v>
      </c>
    </row>
    <row r="83">
      <c r="A83" s="12">
        <v>23.0</v>
      </c>
      <c r="B83" s="12" t="s">
        <v>51</v>
      </c>
      <c r="C83" s="13" t="s">
        <v>52</v>
      </c>
      <c r="D83" s="14">
        <v>257.0</v>
      </c>
      <c r="E83" s="16"/>
      <c r="F83" s="14">
        <f t="shared" si="7"/>
        <v>257</v>
      </c>
      <c r="G83" s="19">
        <f t="shared" si="8"/>
        <v>5850</v>
      </c>
    </row>
    <row r="84">
      <c r="A84" s="12">
        <v>24.0</v>
      </c>
      <c r="B84" s="12" t="s">
        <v>22</v>
      </c>
      <c r="C84" s="13" t="s">
        <v>115</v>
      </c>
      <c r="D84" s="14">
        <v>458.0</v>
      </c>
      <c r="E84" s="14">
        <v>481.0</v>
      </c>
      <c r="F84" s="14">
        <f t="shared" si="7"/>
        <v>939</v>
      </c>
      <c r="G84" s="19">
        <f t="shared" si="8"/>
        <v>6789</v>
      </c>
    </row>
    <row r="85">
      <c r="A85" s="24"/>
      <c r="B85" s="24"/>
      <c r="C85" s="26"/>
      <c r="D85" s="27">
        <v>25.0</v>
      </c>
      <c r="E85" s="28"/>
      <c r="F85" s="27">
        <f>SUM(F61:F84)</f>
        <v>6789</v>
      </c>
      <c r="G85" s="29">
        <f>G84</f>
        <v>6789</v>
      </c>
    </row>
  </sheetData>
  <mergeCells count="4">
    <mergeCell ref="A1:G2"/>
    <mergeCell ref="A17:G18"/>
    <mergeCell ref="A36:G37"/>
    <mergeCell ref="A58:G59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18.57"/>
    <col customWidth="1" min="3" max="3" width="69.43"/>
    <col customWidth="1" min="4" max="5" width="7.14"/>
    <col customWidth="1" min="6" max="6" width="7.0"/>
    <col customWidth="1" min="7" max="7" width="8.57"/>
  </cols>
  <sheetData>
    <row r="1">
      <c r="A1" s="4" t="s">
        <v>92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12</v>
      </c>
      <c r="C4" s="13" t="s">
        <v>15</v>
      </c>
      <c r="D4" s="14">
        <v>108.0</v>
      </c>
      <c r="E4" s="16"/>
      <c r="F4" s="14">
        <f t="shared" ref="F4:F17" si="1">SUM(D4:E4)</f>
        <v>108</v>
      </c>
      <c r="G4" s="19">
        <f>F4</f>
        <v>108</v>
      </c>
    </row>
    <row r="5">
      <c r="A5" s="12">
        <v>2.0</v>
      </c>
      <c r="B5" s="12" t="s">
        <v>12</v>
      </c>
      <c r="C5" s="13" t="s">
        <v>15</v>
      </c>
      <c r="D5" s="14">
        <v>114.0</v>
      </c>
      <c r="E5" s="16"/>
      <c r="F5" s="14">
        <f t="shared" si="1"/>
        <v>114</v>
      </c>
      <c r="G5" s="19">
        <f t="shared" ref="G5:G17" si="2">G4+F5</f>
        <v>222</v>
      </c>
    </row>
    <row r="6">
      <c r="A6" s="12">
        <v>3.0</v>
      </c>
      <c r="B6" s="12" t="s">
        <v>12</v>
      </c>
      <c r="C6" s="13" t="s">
        <v>15</v>
      </c>
      <c r="D6" s="14">
        <v>119.0</v>
      </c>
      <c r="E6" s="16"/>
      <c r="F6" s="14">
        <f t="shared" si="1"/>
        <v>119</v>
      </c>
      <c r="G6" s="19">
        <f t="shared" si="2"/>
        <v>341</v>
      </c>
    </row>
    <row r="7">
      <c r="A7" s="12">
        <v>4.0</v>
      </c>
      <c r="B7" s="12" t="s">
        <v>22</v>
      </c>
      <c r="C7" s="13" t="s">
        <v>24</v>
      </c>
      <c r="D7" s="14">
        <v>125.0</v>
      </c>
      <c r="E7" s="16"/>
      <c r="F7" s="14">
        <f t="shared" si="1"/>
        <v>125</v>
      </c>
      <c r="G7" s="19">
        <f t="shared" si="2"/>
        <v>466</v>
      </c>
    </row>
    <row r="8">
      <c r="A8" s="12">
        <v>5.0</v>
      </c>
      <c r="B8" s="12" t="s">
        <v>12</v>
      </c>
      <c r="C8" s="13" t="s">
        <v>15</v>
      </c>
      <c r="D8" s="14">
        <v>132.0</v>
      </c>
      <c r="E8" s="16"/>
      <c r="F8" s="14">
        <f t="shared" si="1"/>
        <v>132</v>
      </c>
      <c r="G8" s="19">
        <f t="shared" si="2"/>
        <v>598</v>
      </c>
    </row>
    <row r="9">
      <c r="A9" s="12">
        <v>6.0</v>
      </c>
      <c r="B9" s="12" t="s">
        <v>12</v>
      </c>
      <c r="C9" s="13" t="s">
        <v>15</v>
      </c>
      <c r="D9" s="14">
        <v>138.0</v>
      </c>
      <c r="E9" s="16"/>
      <c r="F9" s="14">
        <f t="shared" si="1"/>
        <v>138</v>
      </c>
      <c r="G9" s="19">
        <f t="shared" si="2"/>
        <v>736</v>
      </c>
    </row>
    <row r="10">
      <c r="A10" s="12">
        <v>7.0</v>
      </c>
      <c r="B10" s="12" t="s">
        <v>138</v>
      </c>
      <c r="C10" s="13" t="s">
        <v>139</v>
      </c>
      <c r="D10" s="14">
        <v>655.0</v>
      </c>
      <c r="E10" s="16"/>
      <c r="F10" s="14">
        <f t="shared" si="1"/>
        <v>655</v>
      </c>
      <c r="G10" s="19">
        <f t="shared" si="2"/>
        <v>1391</v>
      </c>
    </row>
    <row r="11">
      <c r="A11" s="12">
        <v>8.0</v>
      </c>
      <c r="B11" s="12" t="s">
        <v>25</v>
      </c>
      <c r="C11" s="13" t="s">
        <v>30</v>
      </c>
      <c r="D11" s="14">
        <v>108.0</v>
      </c>
      <c r="E11" s="16"/>
      <c r="F11" s="14">
        <f t="shared" si="1"/>
        <v>108</v>
      </c>
      <c r="G11" s="19">
        <f t="shared" si="2"/>
        <v>1499</v>
      </c>
    </row>
    <row r="12">
      <c r="A12" s="12">
        <v>9.0</v>
      </c>
      <c r="B12" s="12" t="s">
        <v>25</v>
      </c>
      <c r="C12" s="13" t="s">
        <v>30</v>
      </c>
      <c r="D12" s="14">
        <v>114.0</v>
      </c>
      <c r="E12" s="16"/>
      <c r="F12" s="14">
        <f t="shared" si="1"/>
        <v>114</v>
      </c>
      <c r="G12" s="19">
        <f t="shared" si="2"/>
        <v>1613</v>
      </c>
    </row>
    <row r="13">
      <c r="A13" s="12">
        <v>10.0</v>
      </c>
      <c r="B13" s="12" t="s">
        <v>25</v>
      </c>
      <c r="C13" s="13" t="s">
        <v>30</v>
      </c>
      <c r="D13" s="14">
        <v>119.0</v>
      </c>
      <c r="E13" s="16"/>
      <c r="F13" s="14">
        <f t="shared" si="1"/>
        <v>119</v>
      </c>
      <c r="G13" s="19">
        <f t="shared" si="2"/>
        <v>1732</v>
      </c>
    </row>
    <row r="14">
      <c r="A14" s="12">
        <v>11.0</v>
      </c>
      <c r="B14" s="12" t="s">
        <v>22</v>
      </c>
      <c r="C14" s="13" t="s">
        <v>24</v>
      </c>
      <c r="D14" s="14">
        <v>125.0</v>
      </c>
      <c r="E14" s="16"/>
      <c r="F14" s="14">
        <f t="shared" si="1"/>
        <v>125</v>
      </c>
      <c r="G14" s="19">
        <f t="shared" si="2"/>
        <v>1857</v>
      </c>
    </row>
    <row r="15">
      <c r="A15" s="12">
        <v>12.0</v>
      </c>
      <c r="B15" s="12" t="s">
        <v>25</v>
      </c>
      <c r="C15" s="13" t="s">
        <v>30</v>
      </c>
      <c r="D15" s="14">
        <v>132.0</v>
      </c>
      <c r="E15" s="16"/>
      <c r="F15" s="14">
        <f t="shared" si="1"/>
        <v>132</v>
      </c>
      <c r="G15" s="19">
        <f t="shared" si="2"/>
        <v>1989</v>
      </c>
    </row>
    <row r="16">
      <c r="A16" s="12">
        <v>13.0</v>
      </c>
      <c r="B16" s="12" t="s">
        <v>25</v>
      </c>
      <c r="C16" s="13" t="s">
        <v>30</v>
      </c>
      <c r="D16" s="14">
        <v>138.0</v>
      </c>
      <c r="E16" s="16"/>
      <c r="F16" s="14">
        <f t="shared" si="1"/>
        <v>138</v>
      </c>
      <c r="G16" s="19">
        <f t="shared" si="2"/>
        <v>2127</v>
      </c>
    </row>
    <row r="17">
      <c r="A17" s="12">
        <v>14.0</v>
      </c>
      <c r="B17" s="12" t="s">
        <v>144</v>
      </c>
      <c r="C17" s="13" t="s">
        <v>145</v>
      </c>
      <c r="D17" s="14">
        <v>247.0</v>
      </c>
      <c r="E17" s="14">
        <v>259.0</v>
      </c>
      <c r="F17" s="14">
        <f t="shared" si="1"/>
        <v>506</v>
      </c>
      <c r="G17" s="19">
        <f t="shared" si="2"/>
        <v>2633</v>
      </c>
    </row>
    <row r="18">
      <c r="A18" s="24"/>
      <c r="B18" s="24"/>
      <c r="C18" s="26"/>
      <c r="D18" s="27">
        <v>15.0</v>
      </c>
      <c r="E18" s="28"/>
      <c r="F18" s="27">
        <f>SUM(F4:F17)</f>
        <v>2633</v>
      </c>
      <c r="G18" s="29">
        <f>G17</f>
        <v>2633</v>
      </c>
    </row>
    <row r="19">
      <c r="C19" s="30"/>
      <c r="G19" s="30"/>
    </row>
    <row r="20">
      <c r="A20" s="4" t="s">
        <v>146</v>
      </c>
      <c r="B20" s="5"/>
      <c r="C20" s="5"/>
      <c r="D20" s="5"/>
      <c r="E20" s="5"/>
      <c r="F20" s="5"/>
      <c r="G20" s="6"/>
    </row>
    <row r="21">
      <c r="A21" s="7"/>
      <c r="B21" s="8"/>
      <c r="C21" s="8"/>
      <c r="D21" s="8"/>
      <c r="E21" s="8"/>
      <c r="F21" s="8"/>
      <c r="G21" s="9"/>
    </row>
    <row r="22">
      <c r="A22" s="10"/>
      <c r="B22" s="10" t="s">
        <v>6</v>
      </c>
      <c r="C22" s="11" t="s">
        <v>7</v>
      </c>
      <c r="D22" s="10" t="s">
        <v>8</v>
      </c>
      <c r="E22" s="10" t="s">
        <v>9</v>
      </c>
      <c r="F22" s="10" t="s">
        <v>10</v>
      </c>
      <c r="G22" s="11" t="s">
        <v>11</v>
      </c>
    </row>
    <row r="23">
      <c r="A23" s="12">
        <v>1.0</v>
      </c>
      <c r="B23" s="12" t="s">
        <v>148</v>
      </c>
      <c r="C23" s="13" t="s">
        <v>149</v>
      </c>
      <c r="D23" s="14">
        <v>180.0</v>
      </c>
      <c r="E23" s="16"/>
      <c r="F23" s="14">
        <f t="shared" ref="F23:F40" si="3">SUM(D23:E23)</f>
        <v>180</v>
      </c>
      <c r="G23" s="19">
        <f>F23</f>
        <v>180</v>
      </c>
    </row>
    <row r="24">
      <c r="A24" s="12">
        <v>2.0</v>
      </c>
      <c r="B24" s="12" t="s">
        <v>151</v>
      </c>
      <c r="C24" s="13" t="s">
        <v>152</v>
      </c>
      <c r="D24" s="14">
        <v>189.0</v>
      </c>
      <c r="E24" s="16"/>
      <c r="F24" s="14">
        <f t="shared" si="3"/>
        <v>189</v>
      </c>
      <c r="G24" s="19">
        <f t="shared" ref="G24:G40" si="4">G23+F24</f>
        <v>369</v>
      </c>
    </row>
    <row r="25">
      <c r="A25" s="12">
        <v>3.0</v>
      </c>
      <c r="B25" s="12" t="s">
        <v>153</v>
      </c>
      <c r="C25" s="13" t="s">
        <v>154</v>
      </c>
      <c r="D25" s="14">
        <v>338.0</v>
      </c>
      <c r="E25" s="14">
        <v>355.0</v>
      </c>
      <c r="F25" s="14">
        <f t="shared" si="3"/>
        <v>693</v>
      </c>
      <c r="G25" s="19">
        <f t="shared" si="4"/>
        <v>1062</v>
      </c>
    </row>
    <row r="26">
      <c r="A26" s="12">
        <v>4.0</v>
      </c>
      <c r="B26" s="12" t="s">
        <v>151</v>
      </c>
      <c r="C26" s="13" t="s">
        <v>152</v>
      </c>
      <c r="D26" s="14">
        <v>209.0</v>
      </c>
      <c r="E26" s="16"/>
      <c r="F26" s="14">
        <f t="shared" si="3"/>
        <v>209</v>
      </c>
      <c r="G26" s="19">
        <f t="shared" si="4"/>
        <v>1271</v>
      </c>
    </row>
    <row r="27">
      <c r="A27" s="12">
        <v>5.0</v>
      </c>
      <c r="B27" s="12" t="s">
        <v>93</v>
      </c>
      <c r="C27" s="13" t="s">
        <v>108</v>
      </c>
      <c r="D27" s="14">
        <v>219.0</v>
      </c>
      <c r="E27" s="16"/>
      <c r="F27" s="14">
        <f t="shared" si="3"/>
        <v>219</v>
      </c>
      <c r="G27" s="19">
        <f t="shared" si="4"/>
        <v>1490</v>
      </c>
    </row>
    <row r="28">
      <c r="A28" s="12">
        <v>6.0</v>
      </c>
      <c r="B28" s="12" t="s">
        <v>151</v>
      </c>
      <c r="C28" s="13" t="s">
        <v>152</v>
      </c>
      <c r="D28" s="14">
        <v>230.0</v>
      </c>
      <c r="E28" s="16"/>
      <c r="F28" s="14">
        <f t="shared" si="3"/>
        <v>230</v>
      </c>
      <c r="G28" s="19">
        <f t="shared" si="4"/>
        <v>1720</v>
      </c>
    </row>
    <row r="29">
      <c r="A29" s="12">
        <v>7.0</v>
      </c>
      <c r="B29" s="12" t="s">
        <v>157</v>
      </c>
      <c r="C29" s="13" t="s">
        <v>158</v>
      </c>
      <c r="D29" s="14">
        <v>242.0</v>
      </c>
      <c r="E29" s="16"/>
      <c r="F29" s="14">
        <f t="shared" si="3"/>
        <v>242</v>
      </c>
      <c r="G29" s="19">
        <f t="shared" si="4"/>
        <v>1962</v>
      </c>
    </row>
    <row r="30">
      <c r="A30" s="12">
        <v>8.0</v>
      </c>
      <c r="B30" s="12" t="s">
        <v>151</v>
      </c>
      <c r="C30" s="13" t="s">
        <v>152</v>
      </c>
      <c r="D30" s="14">
        <v>254.0</v>
      </c>
      <c r="E30" s="16"/>
      <c r="F30" s="14">
        <f t="shared" si="3"/>
        <v>254</v>
      </c>
      <c r="G30" s="19">
        <f t="shared" si="4"/>
        <v>2216</v>
      </c>
    </row>
    <row r="31">
      <c r="A31" s="12">
        <v>9.0</v>
      </c>
      <c r="B31" s="12" t="s">
        <v>93</v>
      </c>
      <c r="C31" s="13" t="s">
        <v>108</v>
      </c>
      <c r="D31" s="14">
        <v>267.0</v>
      </c>
      <c r="E31" s="16"/>
      <c r="F31" s="14">
        <f t="shared" si="3"/>
        <v>267</v>
      </c>
      <c r="G31" s="19">
        <f t="shared" si="4"/>
        <v>2483</v>
      </c>
    </row>
    <row r="32">
      <c r="A32" s="12">
        <v>10.0</v>
      </c>
      <c r="B32" s="12" t="s">
        <v>151</v>
      </c>
      <c r="C32" s="13" t="s">
        <v>152</v>
      </c>
      <c r="D32" s="14">
        <v>280.0</v>
      </c>
      <c r="E32" s="16"/>
      <c r="F32" s="14">
        <f t="shared" si="3"/>
        <v>280</v>
      </c>
      <c r="G32" s="19">
        <f t="shared" si="4"/>
        <v>2763</v>
      </c>
    </row>
    <row r="33">
      <c r="A33" s="12">
        <v>11.0</v>
      </c>
      <c r="B33" s="12" t="s">
        <v>148</v>
      </c>
      <c r="C33" s="13" t="s">
        <v>149</v>
      </c>
      <c r="D33" s="14">
        <v>209.0</v>
      </c>
      <c r="E33" s="16"/>
      <c r="F33" s="14">
        <f t="shared" si="3"/>
        <v>209</v>
      </c>
      <c r="G33" s="19">
        <f t="shared" si="4"/>
        <v>2972</v>
      </c>
    </row>
    <row r="34">
      <c r="A34" s="12">
        <v>12.0</v>
      </c>
      <c r="B34" s="12" t="s">
        <v>99</v>
      </c>
      <c r="C34" s="13" t="s">
        <v>114</v>
      </c>
      <c r="D34" s="14">
        <v>219.0</v>
      </c>
      <c r="E34" s="16"/>
      <c r="F34" s="14">
        <f t="shared" si="3"/>
        <v>219</v>
      </c>
      <c r="G34" s="19">
        <f t="shared" si="4"/>
        <v>3191</v>
      </c>
    </row>
    <row r="35">
      <c r="A35" s="12">
        <v>13.0</v>
      </c>
      <c r="B35" s="12" t="s">
        <v>148</v>
      </c>
      <c r="C35" s="13" t="s">
        <v>149</v>
      </c>
      <c r="D35" s="14">
        <v>230.0</v>
      </c>
      <c r="E35" s="16"/>
      <c r="F35" s="14">
        <f t="shared" si="3"/>
        <v>230</v>
      </c>
      <c r="G35" s="19">
        <f t="shared" si="4"/>
        <v>3421</v>
      </c>
    </row>
    <row r="36">
      <c r="A36" s="12">
        <v>14.0</v>
      </c>
      <c r="B36" s="12" t="s">
        <v>160</v>
      </c>
      <c r="C36" s="13" t="s">
        <v>161</v>
      </c>
      <c r="D36" s="14">
        <v>242.0</v>
      </c>
      <c r="E36" s="16"/>
      <c r="F36" s="14">
        <f t="shared" si="3"/>
        <v>242</v>
      </c>
      <c r="G36" s="19">
        <f t="shared" si="4"/>
        <v>3663</v>
      </c>
    </row>
    <row r="37">
      <c r="A37" s="12">
        <v>15.0</v>
      </c>
      <c r="B37" s="12" t="s">
        <v>148</v>
      </c>
      <c r="C37" s="13" t="s">
        <v>149</v>
      </c>
      <c r="D37" s="14">
        <v>254.0</v>
      </c>
      <c r="E37" s="16"/>
      <c r="F37" s="14">
        <f t="shared" si="3"/>
        <v>254</v>
      </c>
      <c r="G37" s="19">
        <f t="shared" si="4"/>
        <v>3917</v>
      </c>
    </row>
    <row r="38">
      <c r="A38" s="12">
        <v>16.0</v>
      </c>
      <c r="B38" s="12" t="s">
        <v>99</v>
      </c>
      <c r="C38" s="13" t="s">
        <v>114</v>
      </c>
      <c r="D38" s="14">
        <v>267.0</v>
      </c>
      <c r="E38" s="16"/>
      <c r="F38" s="14">
        <f t="shared" si="3"/>
        <v>267</v>
      </c>
      <c r="G38" s="19">
        <f t="shared" si="4"/>
        <v>4184</v>
      </c>
    </row>
    <row r="39">
      <c r="A39" s="12">
        <v>17.0</v>
      </c>
      <c r="B39" s="12" t="s">
        <v>148</v>
      </c>
      <c r="C39" s="13" t="s">
        <v>149</v>
      </c>
      <c r="D39" s="14">
        <v>280.0</v>
      </c>
      <c r="E39" s="16"/>
      <c r="F39" s="14">
        <f t="shared" si="3"/>
        <v>280</v>
      </c>
      <c r="G39" s="19">
        <f t="shared" si="4"/>
        <v>4464</v>
      </c>
    </row>
    <row r="40">
      <c r="A40" s="12">
        <v>18.0</v>
      </c>
      <c r="B40" s="12" t="s">
        <v>165</v>
      </c>
      <c r="C40" s="13" t="s">
        <v>166</v>
      </c>
      <c r="D40" s="14">
        <v>1325.0</v>
      </c>
      <c r="E40" s="16"/>
      <c r="F40" s="14">
        <f t="shared" si="3"/>
        <v>1325</v>
      </c>
      <c r="G40" s="19">
        <f t="shared" si="4"/>
        <v>5789</v>
      </c>
    </row>
    <row r="41">
      <c r="A41" s="24"/>
      <c r="B41" s="24"/>
      <c r="C41" s="26"/>
      <c r="D41" s="27">
        <v>19.0</v>
      </c>
      <c r="E41" s="28"/>
      <c r="F41" s="27">
        <f>SUM(F23:F40)</f>
        <v>5789</v>
      </c>
      <c r="G41" s="29">
        <f>G40</f>
        <v>5789</v>
      </c>
    </row>
    <row r="42">
      <c r="C42" s="30"/>
      <c r="G42" s="30"/>
    </row>
    <row r="43">
      <c r="A43" s="4" t="s">
        <v>168</v>
      </c>
      <c r="B43" s="5"/>
      <c r="C43" s="5"/>
      <c r="D43" s="5"/>
      <c r="E43" s="5"/>
      <c r="F43" s="5"/>
      <c r="G43" s="6"/>
    </row>
    <row r="44">
      <c r="A44" s="7"/>
      <c r="B44" s="8"/>
      <c r="C44" s="8"/>
      <c r="D44" s="8"/>
      <c r="E44" s="8"/>
      <c r="F44" s="8"/>
      <c r="G44" s="9"/>
    </row>
    <row r="45">
      <c r="A45" s="10"/>
      <c r="B45" s="10" t="s">
        <v>6</v>
      </c>
      <c r="C45" s="11" t="s">
        <v>7</v>
      </c>
      <c r="D45" s="10" t="s">
        <v>8</v>
      </c>
      <c r="E45" s="10" t="s">
        <v>9</v>
      </c>
      <c r="F45" s="10" t="s">
        <v>10</v>
      </c>
      <c r="G45" s="11" t="s">
        <v>11</v>
      </c>
    </row>
    <row r="46">
      <c r="A46" s="12">
        <v>1.0</v>
      </c>
      <c r="B46" s="12" t="s">
        <v>170</v>
      </c>
      <c r="C46" s="13" t="s">
        <v>171</v>
      </c>
      <c r="D46" s="14">
        <v>194.0</v>
      </c>
      <c r="E46" s="16"/>
      <c r="F46" s="14">
        <f t="shared" ref="F46:F68" si="5">SUM(D46:E46)</f>
        <v>194</v>
      </c>
      <c r="G46" s="19">
        <f>F46</f>
        <v>194</v>
      </c>
    </row>
    <row r="47">
      <c r="A47" s="12">
        <v>2.0</v>
      </c>
      <c r="B47" s="12" t="s">
        <v>173</v>
      </c>
      <c r="C47" s="13" t="s">
        <v>174</v>
      </c>
      <c r="D47" s="14">
        <v>204.0</v>
      </c>
      <c r="E47" s="16"/>
      <c r="F47" s="14">
        <f t="shared" si="5"/>
        <v>204</v>
      </c>
      <c r="G47" s="19">
        <f t="shared" ref="G47:G68" si="6">G46+F47</f>
        <v>398</v>
      </c>
    </row>
    <row r="48">
      <c r="A48" s="12">
        <v>3.0</v>
      </c>
      <c r="B48" s="12" t="s">
        <v>170</v>
      </c>
      <c r="C48" s="13" t="s">
        <v>171</v>
      </c>
      <c r="D48" s="14">
        <v>214.0</v>
      </c>
      <c r="E48" s="16"/>
      <c r="F48" s="14">
        <f t="shared" si="5"/>
        <v>214</v>
      </c>
      <c r="G48" s="19">
        <f t="shared" si="6"/>
        <v>612</v>
      </c>
    </row>
    <row r="49">
      <c r="A49" s="12">
        <v>4.0</v>
      </c>
      <c r="B49" s="12" t="s">
        <v>67</v>
      </c>
      <c r="C49" s="13" t="s">
        <v>176</v>
      </c>
      <c r="D49" s="14">
        <v>194.0</v>
      </c>
      <c r="E49" s="16"/>
      <c r="F49" s="14">
        <f t="shared" si="5"/>
        <v>194</v>
      </c>
      <c r="G49" s="19">
        <f t="shared" si="6"/>
        <v>806</v>
      </c>
    </row>
    <row r="50">
      <c r="A50" s="12">
        <v>5.0</v>
      </c>
      <c r="B50" s="12" t="s">
        <v>177</v>
      </c>
      <c r="C50" s="13" t="s">
        <v>178</v>
      </c>
      <c r="D50" s="14">
        <v>204.0</v>
      </c>
      <c r="E50" s="16"/>
      <c r="F50" s="14">
        <f t="shared" si="5"/>
        <v>204</v>
      </c>
      <c r="G50" s="19">
        <f t="shared" si="6"/>
        <v>1010</v>
      </c>
    </row>
    <row r="51">
      <c r="A51" s="12">
        <v>6.0</v>
      </c>
      <c r="B51" s="12" t="s">
        <v>67</v>
      </c>
      <c r="C51" s="13" t="s">
        <v>176</v>
      </c>
      <c r="D51" s="14">
        <v>214.0</v>
      </c>
      <c r="E51" s="16"/>
      <c r="F51" s="14">
        <f t="shared" si="5"/>
        <v>214</v>
      </c>
      <c r="G51" s="19">
        <f t="shared" si="6"/>
        <v>1224</v>
      </c>
    </row>
    <row r="52">
      <c r="A52" s="12">
        <v>7.0</v>
      </c>
      <c r="B52" s="12" t="s">
        <v>180</v>
      </c>
      <c r="C52" s="13" t="s">
        <v>181</v>
      </c>
      <c r="D52" s="14">
        <v>382.0</v>
      </c>
      <c r="E52" s="14">
        <v>401.0</v>
      </c>
      <c r="F52" s="14">
        <f t="shared" si="5"/>
        <v>783</v>
      </c>
      <c r="G52" s="19">
        <f t="shared" si="6"/>
        <v>2007</v>
      </c>
    </row>
    <row r="53">
      <c r="A53" s="12">
        <v>8.0</v>
      </c>
      <c r="B53" s="12" t="s">
        <v>173</v>
      </c>
      <c r="C53" s="13" t="s">
        <v>174</v>
      </c>
      <c r="D53" s="14">
        <v>236.0</v>
      </c>
      <c r="E53" s="16"/>
      <c r="F53" s="14">
        <f t="shared" si="5"/>
        <v>236</v>
      </c>
      <c r="G53" s="19">
        <f t="shared" si="6"/>
        <v>2243</v>
      </c>
    </row>
    <row r="54">
      <c r="A54" s="12">
        <v>9.0</v>
      </c>
      <c r="B54" s="12" t="s">
        <v>170</v>
      </c>
      <c r="C54" s="13" t="s">
        <v>171</v>
      </c>
      <c r="D54" s="14">
        <v>248.0</v>
      </c>
      <c r="E54" s="16"/>
      <c r="F54" s="14">
        <f t="shared" si="5"/>
        <v>248</v>
      </c>
      <c r="G54" s="19">
        <f t="shared" si="6"/>
        <v>2491</v>
      </c>
    </row>
    <row r="55">
      <c r="A55" s="12">
        <v>10.0</v>
      </c>
      <c r="B55" s="12" t="s">
        <v>173</v>
      </c>
      <c r="C55" s="13" t="s">
        <v>174</v>
      </c>
      <c r="D55" s="14">
        <v>260.0</v>
      </c>
      <c r="E55" s="16"/>
      <c r="F55" s="14">
        <f t="shared" si="5"/>
        <v>260</v>
      </c>
      <c r="G55" s="19">
        <f t="shared" si="6"/>
        <v>2751</v>
      </c>
    </row>
    <row r="56">
      <c r="A56" s="12">
        <v>11.0</v>
      </c>
      <c r="B56" s="12" t="s">
        <v>170</v>
      </c>
      <c r="C56" s="13" t="s">
        <v>171</v>
      </c>
      <c r="D56" s="14">
        <v>273.0</v>
      </c>
      <c r="E56" s="16"/>
      <c r="F56" s="14">
        <f t="shared" si="5"/>
        <v>273</v>
      </c>
      <c r="G56" s="19">
        <f t="shared" si="6"/>
        <v>3024</v>
      </c>
    </row>
    <row r="57">
      <c r="A57" s="12">
        <v>12.0</v>
      </c>
      <c r="B57" s="12" t="s">
        <v>173</v>
      </c>
      <c r="C57" s="13" t="s">
        <v>174</v>
      </c>
      <c r="D57" s="14">
        <v>287.0</v>
      </c>
      <c r="E57" s="16"/>
      <c r="F57" s="14">
        <f t="shared" si="5"/>
        <v>287</v>
      </c>
      <c r="G57" s="19">
        <f t="shared" si="6"/>
        <v>3311</v>
      </c>
    </row>
    <row r="58">
      <c r="A58" s="12">
        <v>13.0</v>
      </c>
      <c r="B58" s="12" t="s">
        <v>170</v>
      </c>
      <c r="C58" s="13" t="s">
        <v>171</v>
      </c>
      <c r="D58" s="14">
        <v>301.0</v>
      </c>
      <c r="E58" s="16"/>
      <c r="F58" s="14">
        <f t="shared" si="5"/>
        <v>301</v>
      </c>
      <c r="G58" s="19">
        <f t="shared" si="6"/>
        <v>3612</v>
      </c>
    </row>
    <row r="59">
      <c r="A59" s="12">
        <v>14.0</v>
      </c>
      <c r="B59" s="12" t="s">
        <v>170</v>
      </c>
      <c r="C59" s="13" t="s">
        <v>171</v>
      </c>
      <c r="D59" s="14">
        <v>248.0</v>
      </c>
      <c r="E59" s="16"/>
      <c r="F59" s="14">
        <f t="shared" si="5"/>
        <v>248</v>
      </c>
      <c r="G59" s="19">
        <f t="shared" si="6"/>
        <v>3860</v>
      </c>
    </row>
    <row r="60">
      <c r="A60" s="12">
        <v>15.0</v>
      </c>
      <c r="B60" s="12" t="s">
        <v>177</v>
      </c>
      <c r="C60" s="13" t="s">
        <v>178</v>
      </c>
      <c r="D60" s="14">
        <v>236.0</v>
      </c>
      <c r="E60" s="16"/>
      <c r="F60" s="14">
        <f t="shared" si="5"/>
        <v>236</v>
      </c>
      <c r="G60" s="19">
        <f t="shared" si="6"/>
        <v>4096</v>
      </c>
    </row>
    <row r="61">
      <c r="A61" s="12">
        <v>16.0</v>
      </c>
      <c r="B61" s="12" t="s">
        <v>67</v>
      </c>
      <c r="C61" s="13" t="s">
        <v>176</v>
      </c>
      <c r="D61" s="14">
        <v>248.0</v>
      </c>
      <c r="E61" s="16"/>
      <c r="F61" s="14">
        <f t="shared" si="5"/>
        <v>248</v>
      </c>
      <c r="G61" s="19">
        <f t="shared" si="6"/>
        <v>4344</v>
      </c>
    </row>
    <row r="62">
      <c r="A62" s="12">
        <v>17.0</v>
      </c>
      <c r="B62" s="12" t="s">
        <v>187</v>
      </c>
      <c r="C62" s="13" t="s">
        <v>188</v>
      </c>
      <c r="D62" s="14">
        <v>1172.0</v>
      </c>
      <c r="E62" s="16"/>
      <c r="F62" s="14">
        <f t="shared" si="5"/>
        <v>1172</v>
      </c>
      <c r="G62" s="19">
        <f t="shared" si="6"/>
        <v>5516</v>
      </c>
    </row>
    <row r="63">
      <c r="A63" s="12">
        <v>18.0</v>
      </c>
      <c r="B63" s="12" t="s">
        <v>67</v>
      </c>
      <c r="C63" s="13" t="s">
        <v>176</v>
      </c>
      <c r="D63" s="14">
        <v>248.0</v>
      </c>
      <c r="E63" s="16"/>
      <c r="F63" s="14">
        <f t="shared" si="5"/>
        <v>248</v>
      </c>
      <c r="G63" s="19">
        <f t="shared" si="6"/>
        <v>5764</v>
      </c>
    </row>
    <row r="64">
      <c r="A64" s="12">
        <v>19.0</v>
      </c>
      <c r="B64" s="12" t="s">
        <v>177</v>
      </c>
      <c r="C64" s="13" t="s">
        <v>178</v>
      </c>
      <c r="D64" s="14">
        <v>260.0</v>
      </c>
      <c r="E64" s="16"/>
      <c r="F64" s="14">
        <f t="shared" si="5"/>
        <v>260</v>
      </c>
      <c r="G64" s="19">
        <f t="shared" si="6"/>
        <v>6024</v>
      </c>
    </row>
    <row r="65">
      <c r="A65" s="12">
        <v>20.0</v>
      </c>
      <c r="B65" s="12" t="s">
        <v>67</v>
      </c>
      <c r="C65" s="13" t="s">
        <v>176</v>
      </c>
      <c r="D65" s="14">
        <v>273.0</v>
      </c>
      <c r="E65" s="16"/>
      <c r="F65" s="14">
        <f t="shared" si="5"/>
        <v>273</v>
      </c>
      <c r="G65" s="19">
        <f t="shared" si="6"/>
        <v>6297</v>
      </c>
    </row>
    <row r="66">
      <c r="A66" s="12">
        <v>21.0</v>
      </c>
      <c r="B66" s="12" t="s">
        <v>177</v>
      </c>
      <c r="C66" s="13" t="s">
        <v>178</v>
      </c>
      <c r="D66" s="14">
        <v>287.0</v>
      </c>
      <c r="E66" s="16"/>
      <c r="F66" s="14">
        <f t="shared" si="5"/>
        <v>287</v>
      </c>
      <c r="G66" s="19">
        <f t="shared" si="6"/>
        <v>6584</v>
      </c>
    </row>
    <row r="67">
      <c r="A67" s="12">
        <v>22.0</v>
      </c>
      <c r="B67" s="12" t="s">
        <v>67</v>
      </c>
      <c r="C67" s="13" t="s">
        <v>176</v>
      </c>
      <c r="D67" s="14">
        <v>301.0</v>
      </c>
      <c r="E67" s="16"/>
      <c r="F67" s="14">
        <f t="shared" si="5"/>
        <v>301</v>
      </c>
      <c r="G67" s="19">
        <f t="shared" si="6"/>
        <v>6885</v>
      </c>
    </row>
    <row r="68">
      <c r="A68" s="12">
        <v>23.0</v>
      </c>
      <c r="B68" s="12" t="s">
        <v>180</v>
      </c>
      <c r="C68" s="13" t="s">
        <v>181</v>
      </c>
      <c r="D68" s="14">
        <v>538.0</v>
      </c>
      <c r="E68" s="14">
        <v>565.0</v>
      </c>
      <c r="F68" s="14">
        <f t="shared" si="5"/>
        <v>1103</v>
      </c>
      <c r="G68" s="19">
        <f t="shared" si="6"/>
        <v>7988</v>
      </c>
    </row>
    <row r="69">
      <c r="A69" s="24"/>
      <c r="B69" s="24"/>
      <c r="C69" s="26"/>
      <c r="D69" s="27">
        <v>25.0</v>
      </c>
      <c r="E69" s="28"/>
      <c r="F69" s="27">
        <f>SUM(F46:F68)</f>
        <v>7988</v>
      </c>
      <c r="G69" s="29">
        <f>G68</f>
        <v>7988</v>
      </c>
    </row>
    <row r="70">
      <c r="C70" s="30"/>
      <c r="G70" s="30"/>
    </row>
    <row r="71">
      <c r="A71" s="4" t="s">
        <v>198</v>
      </c>
      <c r="B71" s="5"/>
      <c r="C71" s="5"/>
      <c r="D71" s="5"/>
      <c r="E71" s="5"/>
      <c r="F71" s="5"/>
      <c r="G71" s="6"/>
    </row>
    <row r="72">
      <c r="A72" s="7"/>
      <c r="B72" s="8"/>
      <c r="C72" s="8"/>
      <c r="D72" s="8"/>
      <c r="E72" s="8"/>
      <c r="F72" s="8"/>
      <c r="G72" s="9"/>
    </row>
    <row r="73">
      <c r="A73" s="10"/>
      <c r="B73" s="10" t="s">
        <v>6</v>
      </c>
      <c r="C73" s="11" t="s">
        <v>7</v>
      </c>
      <c r="D73" s="10" t="s">
        <v>8</v>
      </c>
      <c r="E73" s="10" t="s">
        <v>9</v>
      </c>
      <c r="F73" s="10" t="s">
        <v>10</v>
      </c>
      <c r="G73" s="11" t="s">
        <v>11</v>
      </c>
    </row>
    <row r="74">
      <c r="A74" s="12">
        <v>1.0</v>
      </c>
      <c r="B74" s="12" t="s">
        <v>200</v>
      </c>
      <c r="C74" s="13" t="s">
        <v>201</v>
      </c>
      <c r="D74" s="14">
        <v>226.0</v>
      </c>
      <c r="E74" s="16"/>
      <c r="F74" s="14">
        <f t="shared" ref="F74:F101" si="7">SUM(D74:E74)</f>
        <v>226</v>
      </c>
      <c r="G74" s="19">
        <f>F74</f>
        <v>226</v>
      </c>
    </row>
    <row r="75">
      <c r="A75" s="12">
        <v>2.0</v>
      </c>
      <c r="B75" s="12" t="s">
        <v>202</v>
      </c>
      <c r="C75" s="13" t="s">
        <v>203</v>
      </c>
      <c r="D75" s="14">
        <v>238.0</v>
      </c>
      <c r="E75" s="16"/>
      <c r="F75" s="14">
        <f t="shared" si="7"/>
        <v>238</v>
      </c>
      <c r="G75" s="19">
        <f t="shared" ref="G75:G101" si="8">G74+F75</f>
        <v>464</v>
      </c>
    </row>
    <row r="76">
      <c r="A76" s="12">
        <v>3.0</v>
      </c>
      <c r="B76" s="12" t="s">
        <v>202</v>
      </c>
      <c r="C76" s="13" t="s">
        <v>203</v>
      </c>
      <c r="D76" s="14">
        <v>249.0</v>
      </c>
      <c r="E76" s="16"/>
      <c r="F76" s="14">
        <f t="shared" si="7"/>
        <v>249</v>
      </c>
      <c r="G76" s="19">
        <f t="shared" si="8"/>
        <v>713</v>
      </c>
    </row>
    <row r="77">
      <c r="A77" s="12">
        <v>4.0</v>
      </c>
      <c r="B77" s="12" t="s">
        <v>202</v>
      </c>
      <c r="C77" s="13" t="s">
        <v>203</v>
      </c>
      <c r="D77" s="14">
        <v>262.0</v>
      </c>
      <c r="E77" s="16"/>
      <c r="F77" s="14">
        <f t="shared" si="7"/>
        <v>262</v>
      </c>
      <c r="G77" s="19">
        <f t="shared" si="8"/>
        <v>975</v>
      </c>
    </row>
    <row r="78">
      <c r="A78" s="12">
        <v>5.0</v>
      </c>
      <c r="B78" s="12" t="s">
        <v>206</v>
      </c>
      <c r="C78" s="13" t="s">
        <v>207</v>
      </c>
      <c r="D78" s="14">
        <v>238.0</v>
      </c>
      <c r="E78" s="16"/>
      <c r="F78" s="14">
        <f t="shared" si="7"/>
        <v>238</v>
      </c>
      <c r="G78" s="19">
        <f t="shared" si="8"/>
        <v>1213</v>
      </c>
    </row>
    <row r="79">
      <c r="A79" s="12">
        <v>6.0</v>
      </c>
      <c r="B79" s="12" t="s">
        <v>206</v>
      </c>
      <c r="C79" s="13" t="s">
        <v>207</v>
      </c>
      <c r="D79" s="14">
        <v>249.0</v>
      </c>
      <c r="E79" s="16"/>
      <c r="F79" s="14">
        <f t="shared" si="7"/>
        <v>249</v>
      </c>
      <c r="G79" s="19">
        <f t="shared" si="8"/>
        <v>1462</v>
      </c>
    </row>
    <row r="80">
      <c r="A80" s="12">
        <v>7.0</v>
      </c>
      <c r="B80" s="12" t="s">
        <v>206</v>
      </c>
      <c r="C80" s="13" t="s">
        <v>207</v>
      </c>
      <c r="D80" s="14">
        <v>262.0</v>
      </c>
      <c r="E80" s="16"/>
      <c r="F80" s="14">
        <f t="shared" si="7"/>
        <v>262</v>
      </c>
      <c r="G80" s="19">
        <f t="shared" si="8"/>
        <v>1724</v>
      </c>
    </row>
    <row r="81">
      <c r="A81" s="12">
        <v>8.0</v>
      </c>
      <c r="B81" s="12" t="s">
        <v>210</v>
      </c>
      <c r="C81" s="13" t="s">
        <v>211</v>
      </c>
      <c r="D81" s="14">
        <v>275.0</v>
      </c>
      <c r="E81" s="16"/>
      <c r="F81" s="14">
        <f t="shared" si="7"/>
        <v>275</v>
      </c>
      <c r="G81" s="19">
        <f t="shared" si="8"/>
        <v>1999</v>
      </c>
    </row>
    <row r="82">
      <c r="A82" s="12">
        <v>9.0</v>
      </c>
      <c r="B82" s="12" t="s">
        <v>212</v>
      </c>
      <c r="C82" s="13" t="s">
        <v>213</v>
      </c>
      <c r="D82" s="14">
        <v>491.0</v>
      </c>
      <c r="E82" s="14">
        <v>516.0</v>
      </c>
      <c r="F82" s="14">
        <f t="shared" si="7"/>
        <v>1007</v>
      </c>
      <c r="G82" s="19">
        <f t="shared" si="8"/>
        <v>3006</v>
      </c>
    </row>
    <row r="83">
      <c r="A83" s="12">
        <v>10.0</v>
      </c>
      <c r="B83" s="12" t="s">
        <v>214</v>
      </c>
      <c r="C83" s="13" t="s">
        <v>215</v>
      </c>
      <c r="D83" s="14">
        <v>226.0</v>
      </c>
      <c r="E83" s="16"/>
      <c r="F83" s="14">
        <f t="shared" si="7"/>
        <v>226</v>
      </c>
      <c r="G83" s="19">
        <f t="shared" si="8"/>
        <v>3232</v>
      </c>
    </row>
    <row r="84">
      <c r="A84" s="12">
        <v>11.0</v>
      </c>
      <c r="B84" s="12" t="s">
        <v>218</v>
      </c>
      <c r="C84" s="13" t="s">
        <v>219</v>
      </c>
      <c r="D84" s="14">
        <v>238.0</v>
      </c>
      <c r="E84" s="16"/>
      <c r="F84" s="14">
        <f t="shared" si="7"/>
        <v>238</v>
      </c>
      <c r="G84" s="19">
        <f t="shared" si="8"/>
        <v>3470</v>
      </c>
    </row>
    <row r="85">
      <c r="A85" s="12">
        <v>12.0</v>
      </c>
      <c r="B85" s="12" t="s">
        <v>218</v>
      </c>
      <c r="C85" s="13" t="s">
        <v>219</v>
      </c>
      <c r="D85" s="14">
        <v>249.0</v>
      </c>
      <c r="E85" s="16"/>
      <c r="F85" s="14">
        <f t="shared" si="7"/>
        <v>249</v>
      </c>
      <c r="G85" s="19">
        <f t="shared" si="8"/>
        <v>3719</v>
      </c>
    </row>
    <row r="86">
      <c r="A86" s="12">
        <v>13.0</v>
      </c>
      <c r="B86" s="12" t="s">
        <v>218</v>
      </c>
      <c r="C86" s="13" t="s">
        <v>219</v>
      </c>
      <c r="D86" s="14">
        <v>262.0</v>
      </c>
      <c r="E86" s="16"/>
      <c r="F86" s="14">
        <f t="shared" si="7"/>
        <v>262</v>
      </c>
      <c r="G86" s="19">
        <f t="shared" si="8"/>
        <v>3981</v>
      </c>
    </row>
    <row r="87">
      <c r="A87" s="12">
        <v>14.0</v>
      </c>
      <c r="B87" s="12" t="s">
        <v>157</v>
      </c>
      <c r="C87" s="13" t="s">
        <v>221</v>
      </c>
      <c r="D87" s="14">
        <v>238.0</v>
      </c>
      <c r="E87" s="16"/>
      <c r="F87" s="14">
        <f t="shared" si="7"/>
        <v>238</v>
      </c>
      <c r="G87" s="19">
        <f t="shared" si="8"/>
        <v>4219</v>
      </c>
    </row>
    <row r="88">
      <c r="A88" s="12">
        <v>15.0</v>
      </c>
      <c r="B88" s="12" t="s">
        <v>157</v>
      </c>
      <c r="C88" s="13" t="s">
        <v>221</v>
      </c>
      <c r="D88" s="14">
        <v>249.0</v>
      </c>
      <c r="E88" s="16"/>
      <c r="F88" s="14">
        <f t="shared" si="7"/>
        <v>249</v>
      </c>
      <c r="G88" s="19">
        <f t="shared" si="8"/>
        <v>4468</v>
      </c>
    </row>
    <row r="89">
      <c r="A89" s="12">
        <v>16.0</v>
      </c>
      <c r="B89" s="12" t="s">
        <v>157</v>
      </c>
      <c r="C89" s="13" t="s">
        <v>221</v>
      </c>
      <c r="D89" s="14">
        <v>262.0</v>
      </c>
      <c r="E89" s="16"/>
      <c r="F89" s="14">
        <f t="shared" si="7"/>
        <v>262</v>
      </c>
      <c r="G89" s="19">
        <f t="shared" si="8"/>
        <v>4730</v>
      </c>
    </row>
    <row r="90">
      <c r="A90" s="12">
        <v>17.0</v>
      </c>
      <c r="B90" s="12" t="s">
        <v>224</v>
      </c>
      <c r="C90" s="13" t="s">
        <v>225</v>
      </c>
      <c r="D90" s="14">
        <v>275.0</v>
      </c>
      <c r="E90" s="16"/>
      <c r="F90" s="14">
        <f t="shared" si="7"/>
        <v>275</v>
      </c>
      <c r="G90" s="19">
        <f t="shared" si="8"/>
        <v>5005</v>
      </c>
    </row>
    <row r="91">
      <c r="A91" s="12">
        <v>18.0</v>
      </c>
      <c r="B91" s="12" t="s">
        <v>230</v>
      </c>
      <c r="C91" s="13" t="s">
        <v>231</v>
      </c>
      <c r="D91" s="14">
        <v>491.0</v>
      </c>
      <c r="E91" s="14">
        <v>516.0</v>
      </c>
      <c r="F91" s="14">
        <f t="shared" si="7"/>
        <v>1007</v>
      </c>
      <c r="G91" s="19">
        <f t="shared" si="8"/>
        <v>6012</v>
      </c>
    </row>
    <row r="92">
      <c r="A92" s="12">
        <v>19.0</v>
      </c>
      <c r="B92" s="12" t="s">
        <v>232</v>
      </c>
      <c r="C92" s="23" t="s">
        <v>233</v>
      </c>
      <c r="D92" s="14">
        <v>1366.0</v>
      </c>
      <c r="E92" s="16"/>
      <c r="F92" s="14">
        <f t="shared" si="7"/>
        <v>1366</v>
      </c>
      <c r="G92" s="19">
        <f t="shared" si="8"/>
        <v>7378</v>
      </c>
    </row>
    <row r="93">
      <c r="A93" s="12">
        <v>20.0</v>
      </c>
      <c r="B93" s="12" t="s">
        <v>226</v>
      </c>
      <c r="C93" s="13" t="s">
        <v>236</v>
      </c>
      <c r="D93" s="14">
        <v>226.0</v>
      </c>
      <c r="E93" s="16"/>
      <c r="F93" s="14">
        <f t="shared" si="7"/>
        <v>226</v>
      </c>
      <c r="G93" s="19">
        <f t="shared" si="8"/>
        <v>7604</v>
      </c>
    </row>
    <row r="94">
      <c r="A94" s="12">
        <v>21.0</v>
      </c>
      <c r="B94" s="12" t="s">
        <v>237</v>
      </c>
      <c r="C94" s="13" t="s">
        <v>238</v>
      </c>
      <c r="D94" s="14">
        <v>238.0</v>
      </c>
      <c r="E94" s="16"/>
      <c r="F94" s="14">
        <f t="shared" si="7"/>
        <v>238</v>
      </c>
      <c r="G94" s="19">
        <f t="shared" si="8"/>
        <v>7842</v>
      </c>
    </row>
    <row r="95">
      <c r="A95" s="12">
        <v>22.0</v>
      </c>
      <c r="B95" s="12" t="s">
        <v>237</v>
      </c>
      <c r="C95" s="13" t="s">
        <v>238</v>
      </c>
      <c r="D95" s="14">
        <v>249.0</v>
      </c>
      <c r="E95" s="16"/>
      <c r="F95" s="14">
        <f t="shared" si="7"/>
        <v>249</v>
      </c>
      <c r="G95" s="19">
        <f t="shared" si="8"/>
        <v>8091</v>
      </c>
    </row>
    <row r="96">
      <c r="A96" s="12">
        <v>23.0</v>
      </c>
      <c r="B96" s="12" t="s">
        <v>237</v>
      </c>
      <c r="C96" s="13" t="s">
        <v>238</v>
      </c>
      <c r="D96" s="14">
        <v>262.0</v>
      </c>
      <c r="E96" s="16"/>
      <c r="F96" s="14">
        <f t="shared" si="7"/>
        <v>262</v>
      </c>
      <c r="G96" s="19">
        <f t="shared" si="8"/>
        <v>8353</v>
      </c>
    </row>
    <row r="97">
      <c r="A97" s="12">
        <v>24.0</v>
      </c>
      <c r="B97" s="12" t="s">
        <v>234</v>
      </c>
      <c r="C97" s="13" t="s">
        <v>240</v>
      </c>
      <c r="D97" s="14">
        <v>238.0</v>
      </c>
      <c r="E97" s="16"/>
      <c r="F97" s="14">
        <f t="shared" si="7"/>
        <v>238</v>
      </c>
      <c r="G97" s="19">
        <f t="shared" si="8"/>
        <v>8591</v>
      </c>
    </row>
    <row r="98">
      <c r="A98" s="12">
        <v>25.0</v>
      </c>
      <c r="B98" s="12" t="s">
        <v>234</v>
      </c>
      <c r="C98" s="13" t="s">
        <v>240</v>
      </c>
      <c r="D98" s="14">
        <v>249.0</v>
      </c>
      <c r="E98" s="16"/>
      <c r="F98" s="14">
        <f t="shared" si="7"/>
        <v>249</v>
      </c>
      <c r="G98" s="19">
        <f t="shared" si="8"/>
        <v>8840</v>
      </c>
    </row>
    <row r="99">
      <c r="A99" s="12">
        <v>26.0</v>
      </c>
      <c r="B99" s="12" t="s">
        <v>234</v>
      </c>
      <c r="C99" s="13" t="s">
        <v>240</v>
      </c>
      <c r="D99" s="14">
        <v>262.0</v>
      </c>
      <c r="E99" s="16"/>
      <c r="F99" s="14">
        <f t="shared" si="7"/>
        <v>262</v>
      </c>
      <c r="G99" s="19">
        <f t="shared" si="8"/>
        <v>9102</v>
      </c>
    </row>
    <row r="100">
      <c r="A100" s="12">
        <v>27.0</v>
      </c>
      <c r="B100" s="12" t="s">
        <v>242</v>
      </c>
      <c r="C100" s="13" t="s">
        <v>246</v>
      </c>
      <c r="D100" s="14">
        <v>275.0</v>
      </c>
      <c r="E100" s="16"/>
      <c r="F100" s="14">
        <f t="shared" si="7"/>
        <v>275</v>
      </c>
      <c r="G100" s="19">
        <f t="shared" si="8"/>
        <v>9377</v>
      </c>
    </row>
    <row r="101">
      <c r="A101" s="12">
        <v>28.0</v>
      </c>
      <c r="B101" s="12" t="s">
        <v>244</v>
      </c>
      <c r="C101" s="13" t="s">
        <v>248</v>
      </c>
      <c r="D101" s="14">
        <v>491.0</v>
      </c>
      <c r="E101" s="14">
        <v>516.0</v>
      </c>
      <c r="F101" s="14">
        <f t="shared" si="7"/>
        <v>1007</v>
      </c>
      <c r="G101" s="19">
        <f t="shared" si="8"/>
        <v>10384</v>
      </c>
    </row>
    <row r="102">
      <c r="A102" s="24"/>
      <c r="B102" s="24"/>
      <c r="C102" s="26"/>
      <c r="D102" s="27">
        <v>31.0</v>
      </c>
      <c r="E102" s="28"/>
      <c r="F102" s="27">
        <f>SUM(F74:F101)</f>
        <v>10384</v>
      </c>
      <c r="G102" s="29">
        <f>G101</f>
        <v>10384</v>
      </c>
    </row>
  </sheetData>
  <mergeCells count="4">
    <mergeCell ref="A1:G2"/>
    <mergeCell ref="A20:G21"/>
    <mergeCell ref="A43:G44"/>
    <mergeCell ref="A71:G72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0.29"/>
    <col customWidth="1" min="3" max="3" width="62.86"/>
    <col customWidth="1" min="4" max="5" width="7.14"/>
    <col customWidth="1" min="6" max="6" width="7.0"/>
    <col customWidth="1" min="7" max="7" width="8.57"/>
  </cols>
  <sheetData>
    <row r="1">
      <c r="A1" s="4" t="s">
        <v>103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25</v>
      </c>
      <c r="C4" s="13" t="s">
        <v>32</v>
      </c>
      <c r="D4" s="14">
        <v>108.0</v>
      </c>
      <c r="E4" s="16"/>
      <c r="F4" s="14">
        <f t="shared" ref="F4:F17" si="1">SUM(D4:E4)</f>
        <v>108</v>
      </c>
      <c r="G4" s="19">
        <f>F4</f>
        <v>108</v>
      </c>
    </row>
    <row r="5">
      <c r="A5" s="12">
        <v>2.0</v>
      </c>
      <c r="B5" s="12" t="s">
        <v>25</v>
      </c>
      <c r="C5" s="13" t="s">
        <v>32</v>
      </c>
      <c r="D5" s="14">
        <v>114.0</v>
      </c>
      <c r="E5" s="16"/>
      <c r="F5" s="14">
        <f t="shared" si="1"/>
        <v>114</v>
      </c>
      <c r="G5" s="19">
        <f t="shared" ref="G5:G17" si="2">G4+F5</f>
        <v>222</v>
      </c>
    </row>
    <row r="6">
      <c r="A6" s="12">
        <v>3.0</v>
      </c>
      <c r="B6" s="12" t="s">
        <v>25</v>
      </c>
      <c r="C6" s="13" t="s">
        <v>32</v>
      </c>
      <c r="D6" s="14">
        <v>119.0</v>
      </c>
      <c r="E6" s="16"/>
      <c r="F6" s="14">
        <f t="shared" si="1"/>
        <v>119</v>
      </c>
      <c r="G6" s="19">
        <f t="shared" si="2"/>
        <v>341</v>
      </c>
    </row>
    <row r="7">
      <c r="A7" s="12">
        <v>4.0</v>
      </c>
      <c r="B7" s="12" t="s">
        <v>22</v>
      </c>
      <c r="C7" s="13" t="s">
        <v>27</v>
      </c>
      <c r="D7" s="14">
        <v>125.0</v>
      </c>
      <c r="E7" s="16"/>
      <c r="F7" s="14">
        <f t="shared" si="1"/>
        <v>125</v>
      </c>
      <c r="G7" s="19">
        <f t="shared" si="2"/>
        <v>466</v>
      </c>
    </row>
    <row r="8">
      <c r="A8" s="12">
        <v>5.0</v>
      </c>
      <c r="B8" s="12" t="s">
        <v>25</v>
      </c>
      <c r="C8" s="13" t="s">
        <v>32</v>
      </c>
      <c r="D8" s="14">
        <v>132.0</v>
      </c>
      <c r="E8" s="16"/>
      <c r="F8" s="14">
        <f t="shared" si="1"/>
        <v>132</v>
      </c>
      <c r="G8" s="19">
        <f t="shared" si="2"/>
        <v>598</v>
      </c>
    </row>
    <row r="9">
      <c r="A9" s="12">
        <v>6.0</v>
      </c>
      <c r="B9" s="12" t="s">
        <v>25</v>
      </c>
      <c r="C9" s="13" t="s">
        <v>32</v>
      </c>
      <c r="D9" s="14">
        <v>138.0</v>
      </c>
      <c r="E9" s="16"/>
      <c r="F9" s="14">
        <f t="shared" si="1"/>
        <v>138</v>
      </c>
      <c r="G9" s="19">
        <f t="shared" si="2"/>
        <v>736</v>
      </c>
    </row>
    <row r="10">
      <c r="A10" s="12">
        <v>7.0</v>
      </c>
      <c r="B10" s="12" t="s">
        <v>144</v>
      </c>
      <c r="C10" s="13" t="s">
        <v>150</v>
      </c>
      <c r="D10" s="14">
        <v>247.0</v>
      </c>
      <c r="E10" s="14">
        <v>259.0</v>
      </c>
      <c r="F10" s="14">
        <f t="shared" si="1"/>
        <v>506</v>
      </c>
      <c r="G10" s="19">
        <f t="shared" si="2"/>
        <v>1242</v>
      </c>
    </row>
    <row r="11">
      <c r="A11" s="12">
        <v>8.0</v>
      </c>
      <c r="B11" s="12" t="s">
        <v>12</v>
      </c>
      <c r="C11" s="13" t="s">
        <v>16</v>
      </c>
      <c r="D11" s="14">
        <v>108.0</v>
      </c>
      <c r="E11" s="16"/>
      <c r="F11" s="14">
        <f t="shared" si="1"/>
        <v>108</v>
      </c>
      <c r="G11" s="19">
        <f t="shared" si="2"/>
        <v>1350</v>
      </c>
    </row>
    <row r="12">
      <c r="A12" s="12">
        <v>9.0</v>
      </c>
      <c r="B12" s="12" t="s">
        <v>12</v>
      </c>
      <c r="C12" s="13" t="s">
        <v>16</v>
      </c>
      <c r="D12" s="14">
        <v>114.0</v>
      </c>
      <c r="E12" s="16"/>
      <c r="F12" s="14">
        <f t="shared" si="1"/>
        <v>114</v>
      </c>
      <c r="G12" s="19">
        <f t="shared" si="2"/>
        <v>1464</v>
      </c>
    </row>
    <row r="13">
      <c r="A13" s="12">
        <v>10.0</v>
      </c>
      <c r="B13" s="12" t="s">
        <v>12</v>
      </c>
      <c r="C13" s="13" t="s">
        <v>16</v>
      </c>
      <c r="D13" s="14">
        <v>119.0</v>
      </c>
      <c r="E13" s="16"/>
      <c r="F13" s="14">
        <f t="shared" si="1"/>
        <v>119</v>
      </c>
      <c r="G13" s="19">
        <f t="shared" si="2"/>
        <v>1583</v>
      </c>
    </row>
    <row r="14">
      <c r="A14" s="12">
        <v>11.0</v>
      </c>
      <c r="B14" s="12" t="s">
        <v>22</v>
      </c>
      <c r="C14" s="13" t="s">
        <v>27</v>
      </c>
      <c r="D14" s="14">
        <v>125.0</v>
      </c>
      <c r="E14" s="16"/>
      <c r="F14" s="14">
        <f t="shared" si="1"/>
        <v>125</v>
      </c>
      <c r="G14" s="19">
        <f t="shared" si="2"/>
        <v>1708</v>
      </c>
    </row>
    <row r="15">
      <c r="A15" s="12">
        <v>12.0</v>
      </c>
      <c r="B15" s="12" t="s">
        <v>12</v>
      </c>
      <c r="C15" s="13" t="s">
        <v>16</v>
      </c>
      <c r="D15" s="14">
        <v>132.0</v>
      </c>
      <c r="E15" s="16"/>
      <c r="F15" s="14">
        <f t="shared" si="1"/>
        <v>132</v>
      </c>
      <c r="G15" s="19">
        <f t="shared" si="2"/>
        <v>1840</v>
      </c>
    </row>
    <row r="16">
      <c r="A16" s="12">
        <v>13.0</v>
      </c>
      <c r="B16" s="12" t="s">
        <v>12</v>
      </c>
      <c r="C16" s="13" t="s">
        <v>16</v>
      </c>
      <c r="D16" s="14">
        <v>138.0</v>
      </c>
      <c r="E16" s="16"/>
      <c r="F16" s="14">
        <f t="shared" si="1"/>
        <v>138</v>
      </c>
      <c r="G16" s="19">
        <f t="shared" si="2"/>
        <v>1978</v>
      </c>
    </row>
    <row r="17">
      <c r="A17" s="12">
        <v>14.0</v>
      </c>
      <c r="B17" s="12" t="s">
        <v>138</v>
      </c>
      <c r="C17" s="13" t="s">
        <v>156</v>
      </c>
      <c r="D17" s="14">
        <v>655.0</v>
      </c>
      <c r="E17" s="16"/>
      <c r="F17" s="14">
        <f t="shared" si="1"/>
        <v>655</v>
      </c>
      <c r="G17" s="19">
        <f t="shared" si="2"/>
        <v>2633</v>
      </c>
    </row>
    <row r="18">
      <c r="A18" s="24"/>
      <c r="B18" s="24"/>
      <c r="C18" s="26"/>
      <c r="D18" s="27">
        <v>15.0</v>
      </c>
      <c r="E18" s="28"/>
      <c r="F18" s="27">
        <f>SUM(F4:F17)</f>
        <v>2633</v>
      </c>
      <c r="G18" s="29">
        <f>G17</f>
        <v>2633</v>
      </c>
    </row>
    <row r="19">
      <c r="C19" s="30"/>
      <c r="G19" s="30"/>
    </row>
    <row r="20">
      <c r="A20" s="4" t="s">
        <v>146</v>
      </c>
      <c r="B20" s="5"/>
      <c r="C20" s="5"/>
      <c r="D20" s="5"/>
      <c r="E20" s="5"/>
      <c r="F20" s="5"/>
      <c r="G20" s="6"/>
    </row>
    <row r="21">
      <c r="A21" s="7"/>
      <c r="B21" s="8"/>
      <c r="C21" s="8"/>
      <c r="D21" s="8"/>
      <c r="E21" s="8"/>
      <c r="F21" s="8"/>
      <c r="G21" s="9"/>
    </row>
    <row r="22">
      <c r="A22" s="10"/>
      <c r="B22" s="10" t="s">
        <v>6</v>
      </c>
      <c r="C22" s="11" t="s">
        <v>7</v>
      </c>
      <c r="D22" s="10" t="s">
        <v>8</v>
      </c>
      <c r="E22" s="10" t="s">
        <v>9</v>
      </c>
      <c r="F22" s="10" t="s">
        <v>10</v>
      </c>
      <c r="G22" s="11" t="s">
        <v>11</v>
      </c>
    </row>
    <row r="23">
      <c r="A23" s="12">
        <v>1.0</v>
      </c>
      <c r="B23" s="12" t="s">
        <v>148</v>
      </c>
      <c r="C23" s="13" t="s">
        <v>162</v>
      </c>
      <c r="D23" s="14">
        <v>180.0</v>
      </c>
      <c r="E23" s="16"/>
      <c r="F23" s="14">
        <f t="shared" ref="F23:F40" si="3">SUM(D23:E23)</f>
        <v>180</v>
      </c>
      <c r="G23" s="19">
        <f>F23</f>
        <v>180</v>
      </c>
    </row>
    <row r="24">
      <c r="A24" s="12">
        <v>2.0</v>
      </c>
      <c r="B24" s="12" t="s">
        <v>151</v>
      </c>
      <c r="C24" s="13" t="s">
        <v>164</v>
      </c>
      <c r="D24" s="14">
        <v>189.0</v>
      </c>
      <c r="E24" s="16"/>
      <c r="F24" s="14">
        <f t="shared" si="3"/>
        <v>189</v>
      </c>
      <c r="G24" s="19">
        <f t="shared" ref="G24:G40" si="4">G23+F24</f>
        <v>369</v>
      </c>
    </row>
    <row r="25">
      <c r="A25" s="12">
        <v>3.0</v>
      </c>
      <c r="B25" s="12" t="s">
        <v>153</v>
      </c>
      <c r="C25" s="13" t="s">
        <v>167</v>
      </c>
      <c r="D25" s="14">
        <v>338.0</v>
      </c>
      <c r="E25" s="14">
        <v>355.0</v>
      </c>
      <c r="F25" s="14">
        <f t="shared" si="3"/>
        <v>693</v>
      </c>
      <c r="G25" s="19">
        <f t="shared" si="4"/>
        <v>1062</v>
      </c>
    </row>
    <row r="26">
      <c r="A26" s="12">
        <v>4.0</v>
      </c>
      <c r="B26" s="12" t="s">
        <v>148</v>
      </c>
      <c r="C26" s="13" t="s">
        <v>162</v>
      </c>
      <c r="D26" s="14">
        <v>209.0</v>
      </c>
      <c r="E26" s="16"/>
      <c r="F26" s="14">
        <f t="shared" si="3"/>
        <v>209</v>
      </c>
      <c r="G26" s="19">
        <f t="shared" si="4"/>
        <v>1271</v>
      </c>
    </row>
    <row r="27">
      <c r="A27" s="12">
        <v>5.0</v>
      </c>
      <c r="B27" s="12" t="s">
        <v>99</v>
      </c>
      <c r="C27" s="13" t="s">
        <v>137</v>
      </c>
      <c r="D27" s="14">
        <v>219.0</v>
      </c>
      <c r="E27" s="16"/>
      <c r="F27" s="14">
        <f t="shared" si="3"/>
        <v>219</v>
      </c>
      <c r="G27" s="19">
        <f t="shared" si="4"/>
        <v>1490</v>
      </c>
    </row>
    <row r="28">
      <c r="A28" s="12">
        <v>6.0</v>
      </c>
      <c r="B28" s="12" t="s">
        <v>148</v>
      </c>
      <c r="C28" s="13" t="s">
        <v>162</v>
      </c>
      <c r="D28" s="14">
        <v>230.0</v>
      </c>
      <c r="E28" s="16"/>
      <c r="F28" s="14">
        <f t="shared" si="3"/>
        <v>230</v>
      </c>
      <c r="G28" s="19">
        <f t="shared" si="4"/>
        <v>1720</v>
      </c>
    </row>
    <row r="29">
      <c r="A29" s="12">
        <v>7.0</v>
      </c>
      <c r="B29" s="12" t="s">
        <v>160</v>
      </c>
      <c r="C29" s="13" t="s">
        <v>169</v>
      </c>
      <c r="D29" s="14">
        <v>242.0</v>
      </c>
      <c r="E29" s="16"/>
      <c r="F29" s="14">
        <f t="shared" si="3"/>
        <v>242</v>
      </c>
      <c r="G29" s="19">
        <f t="shared" si="4"/>
        <v>1962</v>
      </c>
    </row>
    <row r="30">
      <c r="A30" s="12">
        <v>8.0</v>
      </c>
      <c r="B30" s="12" t="s">
        <v>148</v>
      </c>
      <c r="C30" s="13" t="s">
        <v>162</v>
      </c>
      <c r="D30" s="14">
        <v>254.0</v>
      </c>
      <c r="E30" s="16"/>
      <c r="F30" s="14">
        <f t="shared" si="3"/>
        <v>254</v>
      </c>
      <c r="G30" s="19">
        <f t="shared" si="4"/>
        <v>2216</v>
      </c>
    </row>
    <row r="31">
      <c r="A31" s="12">
        <v>9.0</v>
      </c>
      <c r="B31" s="12" t="s">
        <v>99</v>
      </c>
      <c r="C31" s="13" t="s">
        <v>137</v>
      </c>
      <c r="D31" s="14">
        <v>267.0</v>
      </c>
      <c r="E31" s="16"/>
      <c r="F31" s="14">
        <f t="shared" si="3"/>
        <v>267</v>
      </c>
      <c r="G31" s="19">
        <f t="shared" si="4"/>
        <v>2483</v>
      </c>
    </row>
    <row r="32">
      <c r="A32" s="12">
        <v>10.0</v>
      </c>
      <c r="B32" s="12" t="s">
        <v>148</v>
      </c>
      <c r="C32" s="13" t="s">
        <v>162</v>
      </c>
      <c r="D32" s="14">
        <v>280.0</v>
      </c>
      <c r="E32" s="16"/>
      <c r="F32" s="14">
        <f t="shared" si="3"/>
        <v>280</v>
      </c>
      <c r="G32" s="19">
        <f t="shared" si="4"/>
        <v>2763</v>
      </c>
    </row>
    <row r="33">
      <c r="A33" s="12">
        <v>11.0</v>
      </c>
      <c r="B33" s="12" t="s">
        <v>151</v>
      </c>
      <c r="C33" s="13" t="s">
        <v>164</v>
      </c>
      <c r="D33" s="14">
        <v>209.0</v>
      </c>
      <c r="E33" s="16"/>
      <c r="F33" s="14">
        <f t="shared" si="3"/>
        <v>209</v>
      </c>
      <c r="G33" s="19">
        <f t="shared" si="4"/>
        <v>2972</v>
      </c>
    </row>
    <row r="34">
      <c r="A34" s="12">
        <v>12.0</v>
      </c>
      <c r="B34" s="12" t="s">
        <v>93</v>
      </c>
      <c r="C34" s="13" t="s">
        <v>136</v>
      </c>
      <c r="D34" s="14">
        <v>219.0</v>
      </c>
      <c r="E34" s="16"/>
      <c r="F34" s="14">
        <f t="shared" si="3"/>
        <v>219</v>
      </c>
      <c r="G34" s="19">
        <f t="shared" si="4"/>
        <v>3191</v>
      </c>
    </row>
    <row r="35">
      <c r="A35" s="12">
        <v>13.0</v>
      </c>
      <c r="B35" s="12" t="s">
        <v>151</v>
      </c>
      <c r="C35" s="13" t="s">
        <v>164</v>
      </c>
      <c r="D35" s="14">
        <v>230.0</v>
      </c>
      <c r="E35" s="16"/>
      <c r="F35" s="14">
        <f t="shared" si="3"/>
        <v>230</v>
      </c>
      <c r="G35" s="19">
        <f t="shared" si="4"/>
        <v>3421</v>
      </c>
    </row>
    <row r="36">
      <c r="A36" s="12">
        <v>14.0</v>
      </c>
      <c r="B36" s="12" t="s">
        <v>157</v>
      </c>
      <c r="C36" s="13" t="s">
        <v>179</v>
      </c>
      <c r="D36" s="14">
        <v>242.0</v>
      </c>
      <c r="E36" s="16"/>
      <c r="F36" s="14">
        <f t="shared" si="3"/>
        <v>242</v>
      </c>
      <c r="G36" s="19">
        <f t="shared" si="4"/>
        <v>3663</v>
      </c>
    </row>
    <row r="37">
      <c r="A37" s="12">
        <v>15.0</v>
      </c>
      <c r="B37" s="12" t="s">
        <v>151</v>
      </c>
      <c r="C37" s="13" t="s">
        <v>164</v>
      </c>
      <c r="D37" s="14">
        <v>254.0</v>
      </c>
      <c r="E37" s="16"/>
      <c r="F37" s="14">
        <f t="shared" si="3"/>
        <v>254</v>
      </c>
      <c r="G37" s="19">
        <f t="shared" si="4"/>
        <v>3917</v>
      </c>
    </row>
    <row r="38">
      <c r="A38" s="12">
        <v>16.0</v>
      </c>
      <c r="B38" s="12" t="s">
        <v>93</v>
      </c>
      <c r="C38" s="13" t="s">
        <v>136</v>
      </c>
      <c r="D38" s="14">
        <v>267.0</v>
      </c>
      <c r="E38" s="16"/>
      <c r="F38" s="14">
        <f t="shared" si="3"/>
        <v>267</v>
      </c>
      <c r="G38" s="19">
        <f t="shared" si="4"/>
        <v>4184</v>
      </c>
    </row>
    <row r="39">
      <c r="A39" s="12">
        <v>17.0</v>
      </c>
      <c r="B39" s="12" t="s">
        <v>151</v>
      </c>
      <c r="C39" s="13" t="s">
        <v>164</v>
      </c>
      <c r="D39" s="14">
        <v>280.0</v>
      </c>
      <c r="E39" s="16"/>
      <c r="F39" s="14">
        <f t="shared" si="3"/>
        <v>280</v>
      </c>
      <c r="G39" s="19">
        <f t="shared" si="4"/>
        <v>4464</v>
      </c>
    </row>
    <row r="40">
      <c r="A40" s="12">
        <v>18.0</v>
      </c>
      <c r="B40" s="12" t="s">
        <v>165</v>
      </c>
      <c r="C40" s="13" t="s">
        <v>183</v>
      </c>
      <c r="D40" s="14">
        <v>1325.0</v>
      </c>
      <c r="E40" s="16"/>
      <c r="F40" s="14">
        <f t="shared" si="3"/>
        <v>1325</v>
      </c>
      <c r="G40" s="19">
        <f t="shared" si="4"/>
        <v>5789</v>
      </c>
    </row>
    <row r="41">
      <c r="A41" s="24"/>
      <c r="B41" s="24"/>
      <c r="C41" s="26"/>
      <c r="D41" s="27">
        <v>19.0</v>
      </c>
      <c r="E41" s="28"/>
      <c r="F41" s="27">
        <f>SUM(F23:F40)</f>
        <v>5789</v>
      </c>
      <c r="G41" s="29">
        <f>G40</f>
        <v>5789</v>
      </c>
    </row>
    <row r="42">
      <c r="C42" s="30"/>
      <c r="G42" s="30"/>
    </row>
    <row r="43">
      <c r="A43" s="4" t="s">
        <v>168</v>
      </c>
      <c r="B43" s="5"/>
      <c r="C43" s="5"/>
      <c r="D43" s="5"/>
      <c r="E43" s="5"/>
      <c r="F43" s="5"/>
      <c r="G43" s="6"/>
    </row>
    <row r="44">
      <c r="A44" s="7"/>
      <c r="B44" s="8"/>
      <c r="C44" s="8"/>
      <c r="D44" s="8"/>
      <c r="E44" s="8"/>
      <c r="F44" s="8"/>
      <c r="G44" s="9"/>
    </row>
    <row r="45">
      <c r="A45" s="10"/>
      <c r="B45" s="10" t="s">
        <v>6</v>
      </c>
      <c r="C45" s="11" t="s">
        <v>7</v>
      </c>
      <c r="D45" s="10" t="s">
        <v>8</v>
      </c>
      <c r="E45" s="10" t="s">
        <v>9</v>
      </c>
      <c r="F45" s="10" t="s">
        <v>10</v>
      </c>
      <c r="G45" s="11" t="s">
        <v>11</v>
      </c>
    </row>
    <row r="46">
      <c r="A46" s="12">
        <v>1.0</v>
      </c>
      <c r="B46" s="12" t="s">
        <v>67</v>
      </c>
      <c r="C46" s="13" t="s">
        <v>186</v>
      </c>
      <c r="D46" s="14">
        <v>194.0</v>
      </c>
      <c r="E46" s="16"/>
      <c r="F46" s="14">
        <f t="shared" ref="F46:F68" si="5">SUM(D46:E46)</f>
        <v>194</v>
      </c>
      <c r="G46" s="19">
        <f>F46</f>
        <v>194</v>
      </c>
    </row>
    <row r="47">
      <c r="A47" s="12">
        <v>2.0</v>
      </c>
      <c r="B47" s="12" t="s">
        <v>177</v>
      </c>
      <c r="C47" s="13" t="s">
        <v>190</v>
      </c>
      <c r="D47" s="14">
        <v>204.0</v>
      </c>
      <c r="E47" s="16"/>
      <c r="F47" s="14">
        <f t="shared" si="5"/>
        <v>204</v>
      </c>
      <c r="G47" s="19">
        <f t="shared" ref="G47:G68" si="6">G46+F47</f>
        <v>398</v>
      </c>
    </row>
    <row r="48">
      <c r="A48" s="12">
        <v>3.0</v>
      </c>
      <c r="B48" s="12" t="s">
        <v>67</v>
      </c>
      <c r="C48" s="13" t="s">
        <v>186</v>
      </c>
      <c r="D48" s="14">
        <v>214.0</v>
      </c>
      <c r="E48" s="16"/>
      <c r="F48" s="14">
        <f t="shared" si="5"/>
        <v>214</v>
      </c>
      <c r="G48" s="19">
        <f t="shared" si="6"/>
        <v>612</v>
      </c>
    </row>
    <row r="49">
      <c r="A49" s="12">
        <v>4.0</v>
      </c>
      <c r="B49" s="12" t="s">
        <v>170</v>
      </c>
      <c r="C49" s="13" t="s">
        <v>192</v>
      </c>
      <c r="D49" s="14">
        <v>194.0</v>
      </c>
      <c r="E49" s="16"/>
      <c r="F49" s="14">
        <f t="shared" si="5"/>
        <v>194</v>
      </c>
      <c r="G49" s="19">
        <f t="shared" si="6"/>
        <v>806</v>
      </c>
    </row>
    <row r="50">
      <c r="A50" s="12">
        <v>5.0</v>
      </c>
      <c r="B50" s="12" t="s">
        <v>173</v>
      </c>
      <c r="C50" s="13" t="s">
        <v>195</v>
      </c>
      <c r="D50" s="14">
        <v>204.0</v>
      </c>
      <c r="E50" s="16"/>
      <c r="F50" s="14">
        <f t="shared" si="5"/>
        <v>204</v>
      </c>
      <c r="G50" s="19">
        <f t="shared" si="6"/>
        <v>1010</v>
      </c>
    </row>
    <row r="51">
      <c r="A51" s="12">
        <v>6.0</v>
      </c>
      <c r="B51" s="12" t="s">
        <v>170</v>
      </c>
      <c r="C51" s="13" t="s">
        <v>192</v>
      </c>
      <c r="D51" s="14">
        <v>214.0</v>
      </c>
      <c r="E51" s="16"/>
      <c r="F51" s="14">
        <f t="shared" si="5"/>
        <v>214</v>
      </c>
      <c r="G51" s="19">
        <f t="shared" si="6"/>
        <v>1224</v>
      </c>
    </row>
    <row r="52">
      <c r="A52" s="12">
        <v>7.0</v>
      </c>
      <c r="B52" s="12" t="s">
        <v>180</v>
      </c>
      <c r="C52" s="13" t="s">
        <v>196</v>
      </c>
      <c r="D52" s="14">
        <v>382.0</v>
      </c>
      <c r="E52" s="14">
        <v>401.0</v>
      </c>
      <c r="F52" s="14">
        <f t="shared" si="5"/>
        <v>783</v>
      </c>
      <c r="G52" s="19">
        <f t="shared" si="6"/>
        <v>2007</v>
      </c>
    </row>
    <row r="53">
      <c r="A53" s="12">
        <v>8.0</v>
      </c>
      <c r="B53" s="12" t="s">
        <v>177</v>
      </c>
      <c r="C53" s="13" t="s">
        <v>190</v>
      </c>
      <c r="D53" s="14">
        <v>236.0</v>
      </c>
      <c r="E53" s="16"/>
      <c r="F53" s="14">
        <f t="shared" si="5"/>
        <v>236</v>
      </c>
      <c r="G53" s="19">
        <f t="shared" si="6"/>
        <v>2243</v>
      </c>
    </row>
    <row r="54">
      <c r="A54" s="12">
        <v>9.0</v>
      </c>
      <c r="B54" s="12" t="s">
        <v>67</v>
      </c>
      <c r="C54" s="13" t="s">
        <v>186</v>
      </c>
      <c r="D54" s="14">
        <v>248.0</v>
      </c>
      <c r="E54" s="16"/>
      <c r="F54" s="14">
        <f t="shared" si="5"/>
        <v>248</v>
      </c>
      <c r="G54" s="19">
        <f t="shared" si="6"/>
        <v>2491</v>
      </c>
    </row>
    <row r="55">
      <c r="A55" s="12">
        <v>10.0</v>
      </c>
      <c r="B55" s="12" t="s">
        <v>177</v>
      </c>
      <c r="C55" s="13" t="s">
        <v>190</v>
      </c>
      <c r="D55" s="14">
        <v>260.0</v>
      </c>
      <c r="E55" s="16"/>
      <c r="F55" s="14">
        <f t="shared" si="5"/>
        <v>260</v>
      </c>
      <c r="G55" s="19">
        <f t="shared" si="6"/>
        <v>2751</v>
      </c>
    </row>
    <row r="56">
      <c r="A56" s="12">
        <v>11.0</v>
      </c>
      <c r="B56" s="12" t="s">
        <v>67</v>
      </c>
      <c r="C56" s="13" t="s">
        <v>186</v>
      </c>
      <c r="D56" s="14">
        <v>273.0</v>
      </c>
      <c r="E56" s="16"/>
      <c r="F56" s="14">
        <f t="shared" si="5"/>
        <v>273</v>
      </c>
      <c r="G56" s="19">
        <f t="shared" si="6"/>
        <v>3024</v>
      </c>
    </row>
    <row r="57">
      <c r="A57" s="12">
        <v>12.0</v>
      </c>
      <c r="B57" s="12" t="s">
        <v>177</v>
      </c>
      <c r="C57" s="13" t="s">
        <v>190</v>
      </c>
      <c r="D57" s="14">
        <v>287.0</v>
      </c>
      <c r="E57" s="16"/>
      <c r="F57" s="14">
        <f t="shared" si="5"/>
        <v>287</v>
      </c>
      <c r="G57" s="19">
        <f t="shared" si="6"/>
        <v>3311</v>
      </c>
    </row>
    <row r="58">
      <c r="A58" s="12">
        <v>13.0</v>
      </c>
      <c r="B58" s="12" t="s">
        <v>67</v>
      </c>
      <c r="C58" s="13" t="s">
        <v>186</v>
      </c>
      <c r="D58" s="14">
        <v>301.0</v>
      </c>
      <c r="E58" s="16"/>
      <c r="F58" s="14">
        <f t="shared" si="5"/>
        <v>301</v>
      </c>
      <c r="G58" s="19">
        <f t="shared" si="6"/>
        <v>3612</v>
      </c>
    </row>
    <row r="59">
      <c r="A59" s="12">
        <v>14.0</v>
      </c>
      <c r="B59" s="12" t="s">
        <v>67</v>
      </c>
      <c r="C59" s="13" t="s">
        <v>186</v>
      </c>
      <c r="D59" s="14">
        <v>248.0</v>
      </c>
      <c r="E59" s="16"/>
      <c r="F59" s="14">
        <f t="shared" si="5"/>
        <v>248</v>
      </c>
      <c r="G59" s="19">
        <f t="shared" si="6"/>
        <v>3860</v>
      </c>
    </row>
    <row r="60">
      <c r="A60" s="12">
        <v>15.0</v>
      </c>
      <c r="B60" s="12" t="s">
        <v>173</v>
      </c>
      <c r="C60" s="13" t="s">
        <v>195</v>
      </c>
      <c r="D60" s="14">
        <v>236.0</v>
      </c>
      <c r="E60" s="16"/>
      <c r="F60" s="14">
        <f t="shared" si="5"/>
        <v>236</v>
      </c>
      <c r="G60" s="19">
        <f t="shared" si="6"/>
        <v>4096</v>
      </c>
    </row>
    <row r="61">
      <c r="A61" s="12">
        <v>16.0</v>
      </c>
      <c r="B61" s="12" t="s">
        <v>170</v>
      </c>
      <c r="C61" s="13" t="s">
        <v>192</v>
      </c>
      <c r="D61" s="14">
        <v>248.0</v>
      </c>
      <c r="E61" s="16"/>
      <c r="F61" s="14">
        <f t="shared" si="5"/>
        <v>248</v>
      </c>
      <c r="G61" s="19">
        <f t="shared" si="6"/>
        <v>4344</v>
      </c>
    </row>
    <row r="62">
      <c r="A62" s="12">
        <v>17.0</v>
      </c>
      <c r="B62" s="12" t="s">
        <v>187</v>
      </c>
      <c r="C62" s="13" t="s">
        <v>205</v>
      </c>
      <c r="D62" s="14">
        <v>1172.0</v>
      </c>
      <c r="E62" s="16"/>
      <c r="F62" s="14">
        <f t="shared" si="5"/>
        <v>1172</v>
      </c>
      <c r="G62" s="19">
        <f t="shared" si="6"/>
        <v>5516</v>
      </c>
    </row>
    <row r="63">
      <c r="A63" s="12">
        <v>18.0</v>
      </c>
      <c r="B63" s="12" t="s">
        <v>170</v>
      </c>
      <c r="C63" s="13" t="s">
        <v>192</v>
      </c>
      <c r="D63" s="14">
        <v>248.0</v>
      </c>
      <c r="E63" s="16"/>
      <c r="F63" s="14">
        <f t="shared" si="5"/>
        <v>248</v>
      </c>
      <c r="G63" s="19">
        <f t="shared" si="6"/>
        <v>5764</v>
      </c>
    </row>
    <row r="64">
      <c r="A64" s="12">
        <v>19.0</v>
      </c>
      <c r="B64" s="12" t="s">
        <v>173</v>
      </c>
      <c r="C64" s="13" t="s">
        <v>195</v>
      </c>
      <c r="D64" s="14">
        <v>260.0</v>
      </c>
      <c r="E64" s="16"/>
      <c r="F64" s="14">
        <f t="shared" si="5"/>
        <v>260</v>
      </c>
      <c r="G64" s="19">
        <f t="shared" si="6"/>
        <v>6024</v>
      </c>
    </row>
    <row r="65">
      <c r="A65" s="12">
        <v>20.0</v>
      </c>
      <c r="B65" s="12" t="s">
        <v>170</v>
      </c>
      <c r="C65" s="13" t="s">
        <v>192</v>
      </c>
      <c r="D65" s="14">
        <v>273.0</v>
      </c>
      <c r="E65" s="16"/>
      <c r="F65" s="14">
        <f t="shared" si="5"/>
        <v>273</v>
      </c>
      <c r="G65" s="19">
        <f t="shared" si="6"/>
        <v>6297</v>
      </c>
    </row>
    <row r="66">
      <c r="A66" s="12">
        <v>21.0</v>
      </c>
      <c r="B66" s="12" t="s">
        <v>173</v>
      </c>
      <c r="C66" s="13" t="s">
        <v>195</v>
      </c>
      <c r="D66" s="14">
        <v>287.0</v>
      </c>
      <c r="E66" s="16"/>
      <c r="F66" s="14">
        <f t="shared" si="5"/>
        <v>287</v>
      </c>
      <c r="G66" s="19">
        <f t="shared" si="6"/>
        <v>6584</v>
      </c>
    </row>
    <row r="67">
      <c r="A67" s="12">
        <v>22.0</v>
      </c>
      <c r="B67" s="12" t="s">
        <v>170</v>
      </c>
      <c r="C67" s="13" t="s">
        <v>192</v>
      </c>
      <c r="D67" s="14">
        <v>301.0</v>
      </c>
      <c r="E67" s="16"/>
      <c r="F67" s="14">
        <f t="shared" si="5"/>
        <v>301</v>
      </c>
      <c r="G67" s="19">
        <f t="shared" si="6"/>
        <v>6885</v>
      </c>
    </row>
    <row r="68">
      <c r="A68" s="12">
        <v>23.0</v>
      </c>
      <c r="B68" s="12" t="s">
        <v>180</v>
      </c>
      <c r="C68" s="13" t="s">
        <v>196</v>
      </c>
      <c r="D68" s="14">
        <v>538.0</v>
      </c>
      <c r="E68" s="14">
        <v>565.0</v>
      </c>
      <c r="F68" s="14">
        <f t="shared" si="5"/>
        <v>1103</v>
      </c>
      <c r="G68" s="19">
        <f t="shared" si="6"/>
        <v>7988</v>
      </c>
    </row>
    <row r="69">
      <c r="A69" s="24"/>
      <c r="B69" s="24"/>
      <c r="C69" s="26"/>
      <c r="D69" s="27">
        <v>25.0</v>
      </c>
      <c r="E69" s="28"/>
      <c r="F69" s="27">
        <f>SUM(F46:F68)</f>
        <v>7988</v>
      </c>
      <c r="G69" s="29">
        <f>G68</f>
        <v>7988</v>
      </c>
    </row>
    <row r="70">
      <c r="C70" s="30"/>
      <c r="G70" s="30"/>
    </row>
    <row r="71">
      <c r="A71" s="4" t="s">
        <v>198</v>
      </c>
      <c r="B71" s="5"/>
      <c r="C71" s="5"/>
      <c r="D71" s="5"/>
      <c r="E71" s="5"/>
      <c r="F71" s="5"/>
      <c r="G71" s="6"/>
    </row>
    <row r="72">
      <c r="A72" s="7"/>
      <c r="B72" s="8"/>
      <c r="C72" s="8"/>
      <c r="D72" s="8"/>
      <c r="E72" s="8"/>
      <c r="F72" s="8"/>
      <c r="G72" s="9"/>
    </row>
    <row r="73">
      <c r="A73" s="10"/>
      <c r="B73" s="10" t="s">
        <v>6</v>
      </c>
      <c r="C73" s="11" t="s">
        <v>7</v>
      </c>
      <c r="D73" s="10" t="s">
        <v>8</v>
      </c>
      <c r="E73" s="10" t="s">
        <v>9</v>
      </c>
      <c r="F73" s="10" t="s">
        <v>10</v>
      </c>
      <c r="G73" s="11" t="s">
        <v>11</v>
      </c>
    </row>
    <row r="74">
      <c r="A74" s="12">
        <v>1.0</v>
      </c>
      <c r="B74" s="12" t="s">
        <v>226</v>
      </c>
      <c r="C74" s="13" t="s">
        <v>227</v>
      </c>
      <c r="D74" s="14">
        <v>226.0</v>
      </c>
      <c r="E74" s="16"/>
      <c r="F74" s="14">
        <f t="shared" ref="F74:F101" si="7">SUM(D74:E74)</f>
        <v>226</v>
      </c>
      <c r="G74" s="19">
        <f>F74</f>
        <v>226</v>
      </c>
    </row>
    <row r="75">
      <c r="A75" s="12">
        <v>2.0</v>
      </c>
      <c r="B75" s="12" t="s">
        <v>234</v>
      </c>
      <c r="C75" s="13" t="s">
        <v>235</v>
      </c>
      <c r="D75" s="14">
        <v>238.0</v>
      </c>
      <c r="E75" s="16"/>
      <c r="F75" s="14">
        <f t="shared" si="7"/>
        <v>238</v>
      </c>
      <c r="G75" s="19">
        <f t="shared" ref="G75:G101" si="8">G74+F75</f>
        <v>464</v>
      </c>
    </row>
    <row r="76">
      <c r="A76" s="12">
        <v>3.0</v>
      </c>
      <c r="B76" s="12" t="s">
        <v>234</v>
      </c>
      <c r="C76" s="13" t="s">
        <v>235</v>
      </c>
      <c r="D76" s="14">
        <v>249.0</v>
      </c>
      <c r="E76" s="16"/>
      <c r="F76" s="14">
        <f t="shared" si="7"/>
        <v>249</v>
      </c>
      <c r="G76" s="19">
        <f t="shared" si="8"/>
        <v>713</v>
      </c>
    </row>
    <row r="77">
      <c r="A77" s="12">
        <v>4.0</v>
      </c>
      <c r="B77" s="12" t="s">
        <v>234</v>
      </c>
      <c r="C77" s="13" t="s">
        <v>235</v>
      </c>
      <c r="D77" s="14">
        <v>262.0</v>
      </c>
      <c r="E77" s="16"/>
      <c r="F77" s="14">
        <f t="shared" si="7"/>
        <v>262</v>
      </c>
      <c r="G77" s="19">
        <f t="shared" si="8"/>
        <v>975</v>
      </c>
    </row>
    <row r="78">
      <c r="A78" s="12">
        <v>5.0</v>
      </c>
      <c r="B78" s="12" t="s">
        <v>237</v>
      </c>
      <c r="C78" s="13" t="s">
        <v>239</v>
      </c>
      <c r="D78" s="14">
        <v>238.0</v>
      </c>
      <c r="E78" s="16"/>
      <c r="F78" s="14">
        <f t="shared" si="7"/>
        <v>238</v>
      </c>
      <c r="G78" s="19">
        <f t="shared" si="8"/>
        <v>1213</v>
      </c>
    </row>
    <row r="79">
      <c r="A79" s="12">
        <v>6.0</v>
      </c>
      <c r="B79" s="12" t="s">
        <v>237</v>
      </c>
      <c r="C79" s="13" t="s">
        <v>239</v>
      </c>
      <c r="D79" s="14">
        <v>249.0</v>
      </c>
      <c r="E79" s="16"/>
      <c r="F79" s="14">
        <f t="shared" si="7"/>
        <v>249</v>
      </c>
      <c r="G79" s="19">
        <f t="shared" si="8"/>
        <v>1462</v>
      </c>
    </row>
    <row r="80">
      <c r="A80" s="12">
        <v>7.0</v>
      </c>
      <c r="B80" s="12" t="s">
        <v>237</v>
      </c>
      <c r="C80" s="13" t="s">
        <v>239</v>
      </c>
      <c r="D80" s="14">
        <v>262.0</v>
      </c>
      <c r="E80" s="16"/>
      <c r="F80" s="14">
        <f t="shared" si="7"/>
        <v>262</v>
      </c>
      <c r="G80" s="19">
        <f t="shared" si="8"/>
        <v>1724</v>
      </c>
    </row>
    <row r="81">
      <c r="A81" s="12">
        <v>8.0</v>
      </c>
      <c r="B81" s="12" t="s">
        <v>242</v>
      </c>
      <c r="C81" s="13" t="s">
        <v>243</v>
      </c>
      <c r="D81" s="14">
        <v>275.0</v>
      </c>
      <c r="E81" s="16"/>
      <c r="F81" s="14">
        <f t="shared" si="7"/>
        <v>275</v>
      </c>
      <c r="G81" s="19">
        <f t="shared" si="8"/>
        <v>1999</v>
      </c>
    </row>
    <row r="82">
      <c r="A82" s="12">
        <v>9.0</v>
      </c>
      <c r="B82" s="12" t="s">
        <v>244</v>
      </c>
      <c r="C82" s="13" t="s">
        <v>245</v>
      </c>
      <c r="D82" s="14">
        <v>491.0</v>
      </c>
      <c r="E82" s="14">
        <v>516.0</v>
      </c>
      <c r="F82" s="14">
        <f t="shared" si="7"/>
        <v>1007</v>
      </c>
      <c r="G82" s="19">
        <f t="shared" si="8"/>
        <v>3006</v>
      </c>
    </row>
    <row r="83">
      <c r="A83" s="12">
        <v>10.0</v>
      </c>
      <c r="B83" s="12" t="s">
        <v>214</v>
      </c>
      <c r="C83" s="13" t="s">
        <v>247</v>
      </c>
      <c r="D83" s="14">
        <v>226.0</v>
      </c>
      <c r="E83" s="16"/>
      <c r="F83" s="14">
        <f t="shared" si="7"/>
        <v>226</v>
      </c>
      <c r="G83" s="19">
        <f t="shared" si="8"/>
        <v>3232</v>
      </c>
    </row>
    <row r="84">
      <c r="A84" s="12">
        <v>11.0</v>
      </c>
      <c r="B84" s="12" t="s">
        <v>157</v>
      </c>
      <c r="C84" s="13" t="s">
        <v>249</v>
      </c>
      <c r="D84" s="14">
        <v>238.0</v>
      </c>
      <c r="E84" s="16"/>
      <c r="F84" s="14">
        <f t="shared" si="7"/>
        <v>238</v>
      </c>
      <c r="G84" s="19">
        <f t="shared" si="8"/>
        <v>3470</v>
      </c>
    </row>
    <row r="85">
      <c r="A85" s="12">
        <v>12.0</v>
      </c>
      <c r="B85" s="12" t="s">
        <v>157</v>
      </c>
      <c r="C85" s="13" t="s">
        <v>249</v>
      </c>
      <c r="D85" s="14">
        <v>249.0</v>
      </c>
      <c r="E85" s="16"/>
      <c r="F85" s="14">
        <f t="shared" si="7"/>
        <v>249</v>
      </c>
      <c r="G85" s="19">
        <f t="shared" si="8"/>
        <v>3719</v>
      </c>
    </row>
    <row r="86">
      <c r="A86" s="12">
        <v>13.0</v>
      </c>
      <c r="B86" s="12" t="s">
        <v>157</v>
      </c>
      <c r="C86" s="13" t="s">
        <v>249</v>
      </c>
      <c r="D86" s="14">
        <v>262.0</v>
      </c>
      <c r="E86" s="16"/>
      <c r="F86" s="14">
        <f t="shared" si="7"/>
        <v>262</v>
      </c>
      <c r="G86" s="19">
        <f t="shared" si="8"/>
        <v>3981</v>
      </c>
    </row>
    <row r="87">
      <c r="A87" s="12">
        <v>14.0</v>
      </c>
      <c r="B87" s="12" t="s">
        <v>218</v>
      </c>
      <c r="C87" s="13" t="s">
        <v>251</v>
      </c>
      <c r="D87" s="14">
        <v>238.0</v>
      </c>
      <c r="E87" s="16"/>
      <c r="F87" s="14">
        <f t="shared" si="7"/>
        <v>238</v>
      </c>
      <c r="G87" s="19">
        <f t="shared" si="8"/>
        <v>4219</v>
      </c>
    </row>
    <row r="88">
      <c r="A88" s="12">
        <v>15.0</v>
      </c>
      <c r="B88" s="12" t="s">
        <v>218</v>
      </c>
      <c r="C88" s="13" t="s">
        <v>251</v>
      </c>
      <c r="D88" s="14">
        <v>249.0</v>
      </c>
      <c r="E88" s="16"/>
      <c r="F88" s="14">
        <f t="shared" si="7"/>
        <v>249</v>
      </c>
      <c r="G88" s="19">
        <f t="shared" si="8"/>
        <v>4468</v>
      </c>
    </row>
    <row r="89">
      <c r="A89" s="12">
        <v>16.0</v>
      </c>
      <c r="B89" s="12" t="s">
        <v>218</v>
      </c>
      <c r="C89" s="13" t="s">
        <v>251</v>
      </c>
      <c r="D89" s="14">
        <v>262.0</v>
      </c>
      <c r="E89" s="16"/>
      <c r="F89" s="14">
        <f t="shared" si="7"/>
        <v>262</v>
      </c>
      <c r="G89" s="19">
        <f t="shared" si="8"/>
        <v>4730</v>
      </c>
    </row>
    <row r="90">
      <c r="A90" s="12">
        <v>17.0</v>
      </c>
      <c r="B90" s="12" t="s">
        <v>224</v>
      </c>
      <c r="C90" s="13" t="s">
        <v>253</v>
      </c>
      <c r="D90" s="14">
        <v>275.0</v>
      </c>
      <c r="E90" s="16"/>
      <c r="F90" s="14">
        <f t="shared" si="7"/>
        <v>275</v>
      </c>
      <c r="G90" s="19">
        <f t="shared" si="8"/>
        <v>5005</v>
      </c>
    </row>
    <row r="91">
      <c r="A91" s="12">
        <v>18.0</v>
      </c>
      <c r="B91" s="12" t="s">
        <v>230</v>
      </c>
      <c r="C91" s="13" t="s">
        <v>254</v>
      </c>
      <c r="D91" s="14">
        <v>491.0</v>
      </c>
      <c r="E91" s="14">
        <v>516.0</v>
      </c>
      <c r="F91" s="14">
        <f t="shared" si="7"/>
        <v>1007</v>
      </c>
      <c r="G91" s="19">
        <f t="shared" si="8"/>
        <v>6012</v>
      </c>
    </row>
    <row r="92">
      <c r="A92" s="12">
        <v>19.0</v>
      </c>
      <c r="B92" s="12" t="s">
        <v>256</v>
      </c>
      <c r="C92" s="23" t="s">
        <v>257</v>
      </c>
      <c r="D92" s="14">
        <v>1366.0</v>
      </c>
      <c r="E92" s="16"/>
      <c r="F92" s="14">
        <f t="shared" si="7"/>
        <v>1366</v>
      </c>
      <c r="G92" s="19">
        <f t="shared" si="8"/>
        <v>7378</v>
      </c>
    </row>
    <row r="93">
      <c r="A93" s="12">
        <v>20.0</v>
      </c>
      <c r="B93" s="12" t="s">
        <v>200</v>
      </c>
      <c r="C93" s="13" t="s">
        <v>258</v>
      </c>
      <c r="D93" s="14">
        <v>226.0</v>
      </c>
      <c r="E93" s="16"/>
      <c r="F93" s="14">
        <f t="shared" si="7"/>
        <v>226</v>
      </c>
      <c r="G93" s="19">
        <f t="shared" si="8"/>
        <v>7604</v>
      </c>
    </row>
    <row r="94">
      <c r="A94" s="12">
        <v>21.0</v>
      </c>
      <c r="B94" s="12" t="s">
        <v>206</v>
      </c>
      <c r="C94" s="13" t="s">
        <v>259</v>
      </c>
      <c r="D94" s="14">
        <v>238.0</v>
      </c>
      <c r="E94" s="16"/>
      <c r="F94" s="14">
        <f t="shared" si="7"/>
        <v>238</v>
      </c>
      <c r="G94" s="19">
        <f t="shared" si="8"/>
        <v>7842</v>
      </c>
    </row>
    <row r="95">
      <c r="A95" s="12">
        <v>22.0</v>
      </c>
      <c r="B95" s="12" t="s">
        <v>206</v>
      </c>
      <c r="C95" s="13" t="s">
        <v>259</v>
      </c>
      <c r="D95" s="14">
        <v>249.0</v>
      </c>
      <c r="E95" s="16"/>
      <c r="F95" s="14">
        <f t="shared" si="7"/>
        <v>249</v>
      </c>
      <c r="G95" s="19">
        <f t="shared" si="8"/>
        <v>8091</v>
      </c>
    </row>
    <row r="96">
      <c r="A96" s="12">
        <v>23.0</v>
      </c>
      <c r="B96" s="12" t="s">
        <v>206</v>
      </c>
      <c r="C96" s="13" t="s">
        <v>259</v>
      </c>
      <c r="D96" s="14">
        <v>262.0</v>
      </c>
      <c r="E96" s="16"/>
      <c r="F96" s="14">
        <f t="shared" si="7"/>
        <v>262</v>
      </c>
      <c r="G96" s="19">
        <f t="shared" si="8"/>
        <v>8353</v>
      </c>
    </row>
    <row r="97">
      <c r="A97" s="12">
        <v>24.0</v>
      </c>
      <c r="B97" s="12" t="s">
        <v>202</v>
      </c>
      <c r="C97" s="13" t="s">
        <v>261</v>
      </c>
      <c r="D97" s="14">
        <v>238.0</v>
      </c>
      <c r="E97" s="16"/>
      <c r="F97" s="14">
        <f t="shared" si="7"/>
        <v>238</v>
      </c>
      <c r="G97" s="19">
        <f t="shared" si="8"/>
        <v>8591</v>
      </c>
    </row>
    <row r="98">
      <c r="A98" s="12">
        <v>25.0</v>
      </c>
      <c r="B98" s="12" t="s">
        <v>202</v>
      </c>
      <c r="C98" s="13" t="s">
        <v>261</v>
      </c>
      <c r="D98" s="14">
        <v>249.0</v>
      </c>
      <c r="E98" s="16"/>
      <c r="F98" s="14">
        <f t="shared" si="7"/>
        <v>249</v>
      </c>
      <c r="G98" s="19">
        <f t="shared" si="8"/>
        <v>8840</v>
      </c>
    </row>
    <row r="99">
      <c r="A99" s="12">
        <v>26.0</v>
      </c>
      <c r="B99" s="12" t="s">
        <v>202</v>
      </c>
      <c r="C99" s="13" t="s">
        <v>261</v>
      </c>
      <c r="D99" s="14">
        <v>262.0</v>
      </c>
      <c r="E99" s="16"/>
      <c r="F99" s="14">
        <f t="shared" si="7"/>
        <v>262</v>
      </c>
      <c r="G99" s="19">
        <f t="shared" si="8"/>
        <v>9102</v>
      </c>
    </row>
    <row r="100">
      <c r="A100" s="12">
        <v>27.0</v>
      </c>
      <c r="B100" s="12" t="s">
        <v>210</v>
      </c>
      <c r="C100" s="13" t="s">
        <v>264</v>
      </c>
      <c r="D100" s="14">
        <v>275.0</v>
      </c>
      <c r="E100" s="16"/>
      <c r="F100" s="14">
        <f t="shared" si="7"/>
        <v>275</v>
      </c>
      <c r="G100" s="19">
        <f t="shared" si="8"/>
        <v>9377</v>
      </c>
    </row>
    <row r="101">
      <c r="A101" s="12">
        <v>28.0</v>
      </c>
      <c r="B101" s="12" t="s">
        <v>212</v>
      </c>
      <c r="C101" s="13" t="s">
        <v>265</v>
      </c>
      <c r="D101" s="14">
        <v>491.0</v>
      </c>
      <c r="E101" s="14">
        <v>516.0</v>
      </c>
      <c r="F101" s="14">
        <f t="shared" si="7"/>
        <v>1007</v>
      </c>
      <c r="G101" s="19">
        <f t="shared" si="8"/>
        <v>10384</v>
      </c>
    </row>
    <row r="102">
      <c r="A102" s="24"/>
      <c r="B102" s="24"/>
      <c r="C102" s="26"/>
      <c r="D102" s="27">
        <v>31.0</v>
      </c>
      <c r="E102" s="28"/>
      <c r="F102" s="27">
        <f>SUM(F74:F101)</f>
        <v>10384</v>
      </c>
      <c r="G102" s="29">
        <f>G101</f>
        <v>10384</v>
      </c>
    </row>
  </sheetData>
  <mergeCells count="4">
    <mergeCell ref="A1:G2"/>
    <mergeCell ref="A20:G21"/>
    <mergeCell ref="A43:G44"/>
    <mergeCell ref="A71:G72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1.29"/>
    <col customWidth="1" min="3" max="3" width="63.43"/>
    <col customWidth="1" min="4" max="5" width="7.14"/>
    <col customWidth="1" min="6" max="6" width="7.0"/>
    <col customWidth="1" min="7" max="7" width="8.57"/>
  </cols>
  <sheetData>
    <row r="1">
      <c r="A1" s="4" t="s">
        <v>112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12</v>
      </c>
      <c r="C4" s="13" t="s">
        <v>13</v>
      </c>
      <c r="D4" s="14">
        <v>108.0</v>
      </c>
      <c r="E4" s="16"/>
      <c r="F4" s="14">
        <f t="shared" ref="F4:F17" si="1">SUM(D4:E4)</f>
        <v>108</v>
      </c>
      <c r="G4" s="19">
        <f>F4</f>
        <v>108</v>
      </c>
    </row>
    <row r="5">
      <c r="A5" s="12">
        <v>2.0</v>
      </c>
      <c r="B5" s="12" t="s">
        <v>12</v>
      </c>
      <c r="C5" s="13" t="s">
        <v>13</v>
      </c>
      <c r="D5" s="14">
        <v>114.0</v>
      </c>
      <c r="E5" s="16"/>
      <c r="F5" s="14">
        <f t="shared" si="1"/>
        <v>114</v>
      </c>
      <c r="G5" s="19">
        <f t="shared" ref="G5:G17" si="2">G4+F5</f>
        <v>222</v>
      </c>
    </row>
    <row r="6">
      <c r="A6" s="12">
        <v>3.0</v>
      </c>
      <c r="B6" s="12" t="s">
        <v>12</v>
      </c>
      <c r="C6" s="13" t="s">
        <v>13</v>
      </c>
      <c r="D6" s="14">
        <v>119.0</v>
      </c>
      <c r="E6" s="16"/>
      <c r="F6" s="14">
        <f t="shared" si="1"/>
        <v>119</v>
      </c>
      <c r="G6" s="19">
        <f t="shared" si="2"/>
        <v>341</v>
      </c>
    </row>
    <row r="7">
      <c r="A7" s="12">
        <v>4.0</v>
      </c>
      <c r="B7" s="12" t="s">
        <v>22</v>
      </c>
      <c r="C7" s="13" t="s">
        <v>23</v>
      </c>
      <c r="D7" s="14">
        <v>125.0</v>
      </c>
      <c r="E7" s="16"/>
      <c r="F7" s="14">
        <f t="shared" si="1"/>
        <v>125</v>
      </c>
      <c r="G7" s="19">
        <f t="shared" si="2"/>
        <v>466</v>
      </c>
    </row>
    <row r="8">
      <c r="A8" s="12">
        <v>5.0</v>
      </c>
      <c r="B8" s="12" t="s">
        <v>12</v>
      </c>
      <c r="C8" s="13" t="s">
        <v>13</v>
      </c>
      <c r="D8" s="14">
        <v>132.0</v>
      </c>
      <c r="E8" s="16"/>
      <c r="F8" s="14">
        <f t="shared" si="1"/>
        <v>132</v>
      </c>
      <c r="G8" s="19">
        <f t="shared" si="2"/>
        <v>598</v>
      </c>
    </row>
    <row r="9">
      <c r="A9" s="12">
        <v>6.0</v>
      </c>
      <c r="B9" s="12" t="s">
        <v>12</v>
      </c>
      <c r="C9" s="13" t="s">
        <v>13</v>
      </c>
      <c r="D9" s="14">
        <v>138.0</v>
      </c>
      <c r="E9" s="16"/>
      <c r="F9" s="14">
        <f t="shared" si="1"/>
        <v>138</v>
      </c>
      <c r="G9" s="19">
        <f t="shared" si="2"/>
        <v>736</v>
      </c>
    </row>
    <row r="10">
      <c r="A10" s="12">
        <v>7.0</v>
      </c>
      <c r="B10" s="12" t="s">
        <v>138</v>
      </c>
      <c r="C10" s="13" t="s">
        <v>175</v>
      </c>
      <c r="D10" s="14">
        <v>655.0</v>
      </c>
      <c r="E10" s="16"/>
      <c r="F10" s="14">
        <f t="shared" si="1"/>
        <v>655</v>
      </c>
      <c r="G10" s="19">
        <f t="shared" si="2"/>
        <v>1391</v>
      </c>
    </row>
    <row r="11">
      <c r="A11" s="12">
        <v>8.0</v>
      </c>
      <c r="B11" s="12" t="s">
        <v>25</v>
      </c>
      <c r="C11" s="13" t="s">
        <v>26</v>
      </c>
      <c r="D11" s="14">
        <v>108.0</v>
      </c>
      <c r="E11" s="16"/>
      <c r="F11" s="14">
        <f t="shared" si="1"/>
        <v>108</v>
      </c>
      <c r="G11" s="19">
        <f t="shared" si="2"/>
        <v>1499</v>
      </c>
    </row>
    <row r="12">
      <c r="A12" s="12">
        <v>9.0</v>
      </c>
      <c r="B12" s="12" t="s">
        <v>25</v>
      </c>
      <c r="C12" s="13" t="s">
        <v>26</v>
      </c>
      <c r="D12" s="14">
        <v>114.0</v>
      </c>
      <c r="E12" s="16"/>
      <c r="F12" s="14">
        <f t="shared" si="1"/>
        <v>114</v>
      </c>
      <c r="G12" s="19">
        <f t="shared" si="2"/>
        <v>1613</v>
      </c>
    </row>
    <row r="13">
      <c r="A13" s="12">
        <v>10.0</v>
      </c>
      <c r="B13" s="12" t="s">
        <v>25</v>
      </c>
      <c r="C13" s="13" t="s">
        <v>26</v>
      </c>
      <c r="D13" s="14">
        <v>119.0</v>
      </c>
      <c r="E13" s="16"/>
      <c r="F13" s="14">
        <f t="shared" si="1"/>
        <v>119</v>
      </c>
      <c r="G13" s="19">
        <f t="shared" si="2"/>
        <v>1732</v>
      </c>
    </row>
    <row r="14">
      <c r="A14" s="12">
        <v>11.0</v>
      </c>
      <c r="B14" s="12" t="s">
        <v>22</v>
      </c>
      <c r="C14" s="13" t="s">
        <v>23</v>
      </c>
      <c r="D14" s="14">
        <v>125.0</v>
      </c>
      <c r="E14" s="16"/>
      <c r="F14" s="14">
        <f t="shared" si="1"/>
        <v>125</v>
      </c>
      <c r="G14" s="19">
        <f t="shared" si="2"/>
        <v>1857</v>
      </c>
    </row>
    <row r="15">
      <c r="A15" s="12">
        <v>12.0</v>
      </c>
      <c r="B15" s="12" t="s">
        <v>25</v>
      </c>
      <c r="C15" s="13" t="s">
        <v>26</v>
      </c>
      <c r="D15" s="14">
        <v>132.0</v>
      </c>
      <c r="E15" s="16"/>
      <c r="F15" s="14">
        <f t="shared" si="1"/>
        <v>132</v>
      </c>
      <c r="G15" s="19">
        <f t="shared" si="2"/>
        <v>1989</v>
      </c>
    </row>
    <row r="16">
      <c r="A16" s="12">
        <v>13.0</v>
      </c>
      <c r="B16" s="12" t="s">
        <v>25</v>
      </c>
      <c r="C16" s="13" t="s">
        <v>26</v>
      </c>
      <c r="D16" s="14">
        <v>138.0</v>
      </c>
      <c r="E16" s="16"/>
      <c r="F16" s="14">
        <f t="shared" si="1"/>
        <v>138</v>
      </c>
      <c r="G16" s="19">
        <f t="shared" si="2"/>
        <v>2127</v>
      </c>
    </row>
    <row r="17">
      <c r="A17" s="12">
        <v>14.0</v>
      </c>
      <c r="B17" s="12" t="s">
        <v>144</v>
      </c>
      <c r="C17" s="13" t="s">
        <v>184</v>
      </c>
      <c r="D17" s="14">
        <v>247.0</v>
      </c>
      <c r="E17" s="14">
        <v>259.0</v>
      </c>
      <c r="F17" s="14">
        <f t="shared" si="1"/>
        <v>506</v>
      </c>
      <c r="G17" s="19">
        <f t="shared" si="2"/>
        <v>2633</v>
      </c>
    </row>
    <row r="18">
      <c r="A18" s="24"/>
      <c r="B18" s="24"/>
      <c r="C18" s="26"/>
      <c r="D18" s="27">
        <v>15.0</v>
      </c>
      <c r="E18" s="28"/>
      <c r="F18" s="27">
        <f>SUM(F4:F17)</f>
        <v>2633</v>
      </c>
      <c r="G18" s="29">
        <f>G17</f>
        <v>2633</v>
      </c>
    </row>
    <row r="19">
      <c r="C19" s="30"/>
      <c r="G19" s="30"/>
    </row>
    <row r="20">
      <c r="A20" s="4" t="s">
        <v>146</v>
      </c>
      <c r="B20" s="5"/>
      <c r="C20" s="5"/>
      <c r="D20" s="5"/>
      <c r="E20" s="5"/>
      <c r="F20" s="5"/>
      <c r="G20" s="6"/>
    </row>
    <row r="21">
      <c r="A21" s="7"/>
      <c r="B21" s="8"/>
      <c r="C21" s="8"/>
      <c r="D21" s="8"/>
      <c r="E21" s="8"/>
      <c r="F21" s="8"/>
      <c r="G21" s="9"/>
    </row>
    <row r="22">
      <c r="A22" s="10"/>
      <c r="B22" s="10" t="s">
        <v>6</v>
      </c>
      <c r="C22" s="11" t="s">
        <v>7</v>
      </c>
      <c r="D22" s="10" t="s">
        <v>8</v>
      </c>
      <c r="E22" s="10" t="s">
        <v>9</v>
      </c>
      <c r="F22" s="10" t="s">
        <v>10</v>
      </c>
      <c r="G22" s="11" t="s">
        <v>11</v>
      </c>
    </row>
    <row r="23">
      <c r="A23" s="12">
        <v>1.0</v>
      </c>
      <c r="B23" s="12" t="s">
        <v>148</v>
      </c>
      <c r="C23" s="13" t="s">
        <v>189</v>
      </c>
      <c r="D23" s="14">
        <v>180.0</v>
      </c>
      <c r="E23" s="16"/>
      <c r="F23" s="14">
        <f t="shared" ref="F23:F40" si="3">SUM(D23:E23)</f>
        <v>180</v>
      </c>
      <c r="G23" s="19">
        <f>F23</f>
        <v>180</v>
      </c>
    </row>
    <row r="24">
      <c r="A24" s="12">
        <v>2.0</v>
      </c>
      <c r="B24" s="12" t="s">
        <v>151</v>
      </c>
      <c r="C24" s="13" t="s">
        <v>191</v>
      </c>
      <c r="D24" s="14">
        <v>189.0</v>
      </c>
      <c r="E24" s="16"/>
      <c r="F24" s="14">
        <f t="shared" si="3"/>
        <v>189</v>
      </c>
      <c r="G24" s="19">
        <f t="shared" ref="G24:G40" si="4">G23+F24</f>
        <v>369</v>
      </c>
    </row>
    <row r="25">
      <c r="A25" s="12">
        <v>3.0</v>
      </c>
      <c r="B25" s="12" t="s">
        <v>153</v>
      </c>
      <c r="C25" s="13" t="s">
        <v>194</v>
      </c>
      <c r="D25" s="14">
        <v>338.0</v>
      </c>
      <c r="E25" s="14">
        <v>355.0</v>
      </c>
      <c r="F25" s="14">
        <f t="shared" si="3"/>
        <v>693</v>
      </c>
      <c r="G25" s="19">
        <f t="shared" si="4"/>
        <v>1062</v>
      </c>
    </row>
    <row r="26">
      <c r="A26" s="12">
        <v>4.0</v>
      </c>
      <c r="B26" s="12" t="s">
        <v>151</v>
      </c>
      <c r="C26" s="13" t="s">
        <v>191</v>
      </c>
      <c r="D26" s="14">
        <v>209.0</v>
      </c>
      <c r="E26" s="16"/>
      <c r="F26" s="14">
        <f t="shared" si="3"/>
        <v>209</v>
      </c>
      <c r="G26" s="19">
        <f t="shared" si="4"/>
        <v>1271</v>
      </c>
    </row>
    <row r="27">
      <c r="A27" s="12">
        <v>5.0</v>
      </c>
      <c r="B27" s="12" t="s">
        <v>93</v>
      </c>
      <c r="C27" s="13" t="s">
        <v>94</v>
      </c>
      <c r="D27" s="14">
        <v>219.0</v>
      </c>
      <c r="E27" s="16"/>
      <c r="F27" s="14">
        <f t="shared" si="3"/>
        <v>219</v>
      </c>
      <c r="G27" s="19">
        <f t="shared" si="4"/>
        <v>1490</v>
      </c>
    </row>
    <row r="28">
      <c r="A28" s="12">
        <v>6.0</v>
      </c>
      <c r="B28" s="12" t="s">
        <v>151</v>
      </c>
      <c r="C28" s="13" t="s">
        <v>191</v>
      </c>
      <c r="D28" s="14">
        <v>230.0</v>
      </c>
      <c r="E28" s="16"/>
      <c r="F28" s="14">
        <f t="shared" si="3"/>
        <v>230</v>
      </c>
      <c r="G28" s="19">
        <f t="shared" si="4"/>
        <v>1720</v>
      </c>
    </row>
    <row r="29">
      <c r="A29" s="12">
        <v>7.0</v>
      </c>
      <c r="B29" s="12" t="s">
        <v>157</v>
      </c>
      <c r="C29" s="13" t="s">
        <v>197</v>
      </c>
      <c r="D29" s="14">
        <v>242.0</v>
      </c>
      <c r="E29" s="16"/>
      <c r="F29" s="14">
        <f t="shared" si="3"/>
        <v>242</v>
      </c>
      <c r="G29" s="19">
        <f t="shared" si="4"/>
        <v>1962</v>
      </c>
    </row>
    <row r="30">
      <c r="A30" s="12">
        <v>8.0</v>
      </c>
      <c r="B30" s="12" t="s">
        <v>151</v>
      </c>
      <c r="C30" s="13" t="s">
        <v>191</v>
      </c>
      <c r="D30" s="14">
        <v>254.0</v>
      </c>
      <c r="E30" s="16"/>
      <c r="F30" s="14">
        <f t="shared" si="3"/>
        <v>254</v>
      </c>
      <c r="G30" s="19">
        <f t="shared" si="4"/>
        <v>2216</v>
      </c>
    </row>
    <row r="31">
      <c r="A31" s="12">
        <v>9.0</v>
      </c>
      <c r="B31" s="12" t="s">
        <v>93</v>
      </c>
      <c r="C31" s="13" t="s">
        <v>94</v>
      </c>
      <c r="D31" s="14">
        <v>267.0</v>
      </c>
      <c r="E31" s="16"/>
      <c r="F31" s="14">
        <f t="shared" si="3"/>
        <v>267</v>
      </c>
      <c r="G31" s="19">
        <f t="shared" si="4"/>
        <v>2483</v>
      </c>
    </row>
    <row r="32">
      <c r="A32" s="12">
        <v>10.0</v>
      </c>
      <c r="B32" s="12" t="s">
        <v>151</v>
      </c>
      <c r="C32" s="13" t="s">
        <v>191</v>
      </c>
      <c r="D32" s="14">
        <v>280.0</v>
      </c>
      <c r="E32" s="16"/>
      <c r="F32" s="14">
        <f t="shared" si="3"/>
        <v>280</v>
      </c>
      <c r="G32" s="19">
        <f t="shared" si="4"/>
        <v>2763</v>
      </c>
    </row>
    <row r="33">
      <c r="A33" s="12">
        <v>11.0</v>
      </c>
      <c r="B33" s="12" t="s">
        <v>148</v>
      </c>
      <c r="C33" s="13" t="s">
        <v>189</v>
      </c>
      <c r="D33" s="14">
        <v>209.0</v>
      </c>
      <c r="E33" s="16"/>
      <c r="F33" s="14">
        <f t="shared" si="3"/>
        <v>209</v>
      </c>
      <c r="G33" s="19">
        <f t="shared" si="4"/>
        <v>2972</v>
      </c>
    </row>
    <row r="34">
      <c r="A34" s="12">
        <v>12.0</v>
      </c>
      <c r="B34" s="12" t="s">
        <v>99</v>
      </c>
      <c r="C34" s="13" t="s">
        <v>100</v>
      </c>
      <c r="D34" s="14">
        <v>219.0</v>
      </c>
      <c r="E34" s="16"/>
      <c r="F34" s="14">
        <f t="shared" si="3"/>
        <v>219</v>
      </c>
      <c r="G34" s="19">
        <f t="shared" si="4"/>
        <v>3191</v>
      </c>
    </row>
    <row r="35">
      <c r="A35" s="12">
        <v>13.0</v>
      </c>
      <c r="B35" s="12" t="s">
        <v>148</v>
      </c>
      <c r="C35" s="13" t="s">
        <v>189</v>
      </c>
      <c r="D35" s="14">
        <v>230.0</v>
      </c>
      <c r="E35" s="16"/>
      <c r="F35" s="14">
        <f t="shared" si="3"/>
        <v>230</v>
      </c>
      <c r="G35" s="19">
        <f t="shared" si="4"/>
        <v>3421</v>
      </c>
    </row>
    <row r="36">
      <c r="A36" s="12">
        <v>14.0</v>
      </c>
      <c r="B36" s="12" t="s">
        <v>160</v>
      </c>
      <c r="C36" s="13" t="s">
        <v>204</v>
      </c>
      <c r="D36" s="14">
        <v>242.0</v>
      </c>
      <c r="E36" s="16"/>
      <c r="F36" s="14">
        <f t="shared" si="3"/>
        <v>242</v>
      </c>
      <c r="G36" s="19">
        <f t="shared" si="4"/>
        <v>3663</v>
      </c>
    </row>
    <row r="37">
      <c r="A37" s="12">
        <v>15.0</v>
      </c>
      <c r="B37" s="12" t="s">
        <v>148</v>
      </c>
      <c r="C37" s="13" t="s">
        <v>189</v>
      </c>
      <c r="D37" s="14">
        <v>254.0</v>
      </c>
      <c r="E37" s="16"/>
      <c r="F37" s="14">
        <f t="shared" si="3"/>
        <v>254</v>
      </c>
      <c r="G37" s="19">
        <f t="shared" si="4"/>
        <v>3917</v>
      </c>
    </row>
    <row r="38">
      <c r="A38" s="12">
        <v>16.0</v>
      </c>
      <c r="B38" s="12" t="s">
        <v>99</v>
      </c>
      <c r="C38" s="13" t="s">
        <v>100</v>
      </c>
      <c r="D38" s="14">
        <v>267.0</v>
      </c>
      <c r="E38" s="16"/>
      <c r="F38" s="14">
        <f t="shared" si="3"/>
        <v>267</v>
      </c>
      <c r="G38" s="19">
        <f t="shared" si="4"/>
        <v>4184</v>
      </c>
    </row>
    <row r="39">
      <c r="A39" s="12">
        <v>17.0</v>
      </c>
      <c r="B39" s="12" t="s">
        <v>148</v>
      </c>
      <c r="C39" s="13" t="s">
        <v>189</v>
      </c>
      <c r="D39" s="14">
        <v>280.0</v>
      </c>
      <c r="E39" s="16"/>
      <c r="F39" s="14">
        <f t="shared" si="3"/>
        <v>280</v>
      </c>
      <c r="G39" s="19">
        <f t="shared" si="4"/>
        <v>4464</v>
      </c>
    </row>
    <row r="40">
      <c r="A40" s="12">
        <v>18.0</v>
      </c>
      <c r="B40" s="12" t="s">
        <v>165</v>
      </c>
      <c r="C40" s="13" t="s">
        <v>208</v>
      </c>
      <c r="D40" s="14">
        <v>1325.0</v>
      </c>
      <c r="E40" s="16"/>
      <c r="F40" s="14">
        <f t="shared" si="3"/>
        <v>1325</v>
      </c>
      <c r="G40" s="19">
        <f t="shared" si="4"/>
        <v>5789</v>
      </c>
    </row>
    <row r="41">
      <c r="A41" s="24"/>
      <c r="B41" s="24"/>
      <c r="C41" s="26"/>
      <c r="D41" s="27">
        <v>19.0</v>
      </c>
      <c r="E41" s="28"/>
      <c r="F41" s="27">
        <f>SUM(F23:F40)</f>
        <v>5789</v>
      </c>
      <c r="G41" s="29">
        <f>G40</f>
        <v>5789</v>
      </c>
    </row>
    <row r="42">
      <c r="C42" s="30"/>
      <c r="G42" s="30"/>
    </row>
    <row r="43">
      <c r="A43" s="4" t="s">
        <v>168</v>
      </c>
      <c r="B43" s="5"/>
      <c r="C43" s="5"/>
      <c r="D43" s="5"/>
      <c r="E43" s="5"/>
      <c r="F43" s="5"/>
      <c r="G43" s="6"/>
    </row>
    <row r="44">
      <c r="A44" s="7"/>
      <c r="B44" s="8"/>
      <c r="C44" s="8"/>
      <c r="D44" s="8"/>
      <c r="E44" s="8"/>
      <c r="F44" s="8"/>
      <c r="G44" s="9"/>
    </row>
    <row r="45">
      <c r="A45" s="10"/>
      <c r="B45" s="10" t="s">
        <v>6</v>
      </c>
      <c r="C45" s="11" t="s">
        <v>7</v>
      </c>
      <c r="D45" s="10" t="s">
        <v>8</v>
      </c>
      <c r="E45" s="10" t="s">
        <v>9</v>
      </c>
      <c r="F45" s="10" t="s">
        <v>10</v>
      </c>
      <c r="G45" s="11" t="s">
        <v>11</v>
      </c>
    </row>
    <row r="46">
      <c r="A46" s="12">
        <v>1.0</v>
      </c>
      <c r="B46" s="12" t="s">
        <v>170</v>
      </c>
      <c r="C46" s="13" t="s">
        <v>217</v>
      </c>
      <c r="D46" s="14">
        <v>194.0</v>
      </c>
      <c r="E46" s="16"/>
      <c r="F46" s="14">
        <f t="shared" ref="F46:F68" si="5">SUM(D46:E46)</f>
        <v>194</v>
      </c>
      <c r="G46" s="19">
        <f>F46</f>
        <v>194</v>
      </c>
    </row>
    <row r="47">
      <c r="A47" s="12">
        <v>2.0</v>
      </c>
      <c r="B47" s="12" t="s">
        <v>173</v>
      </c>
      <c r="C47" s="13" t="s">
        <v>220</v>
      </c>
      <c r="D47" s="14">
        <v>204.0</v>
      </c>
      <c r="E47" s="16"/>
      <c r="F47" s="14">
        <f t="shared" si="5"/>
        <v>204</v>
      </c>
      <c r="G47" s="19">
        <f t="shared" ref="G47:G68" si="6">G46+F47</f>
        <v>398</v>
      </c>
    </row>
    <row r="48">
      <c r="A48" s="12">
        <v>3.0</v>
      </c>
      <c r="B48" s="12" t="s">
        <v>170</v>
      </c>
      <c r="C48" s="13" t="s">
        <v>217</v>
      </c>
      <c r="D48" s="14">
        <v>214.0</v>
      </c>
      <c r="E48" s="16"/>
      <c r="F48" s="14">
        <f t="shared" si="5"/>
        <v>214</v>
      </c>
      <c r="G48" s="19">
        <f t="shared" si="6"/>
        <v>612</v>
      </c>
    </row>
    <row r="49">
      <c r="A49" s="12">
        <v>4.0</v>
      </c>
      <c r="B49" s="12" t="s">
        <v>67</v>
      </c>
      <c r="C49" s="13" t="s">
        <v>222</v>
      </c>
      <c r="D49" s="14">
        <v>194.0</v>
      </c>
      <c r="E49" s="16"/>
      <c r="F49" s="14">
        <f t="shared" si="5"/>
        <v>194</v>
      </c>
      <c r="G49" s="19">
        <f t="shared" si="6"/>
        <v>806</v>
      </c>
    </row>
    <row r="50">
      <c r="A50" s="12">
        <v>5.0</v>
      </c>
      <c r="B50" s="12" t="s">
        <v>177</v>
      </c>
      <c r="C50" s="13" t="s">
        <v>223</v>
      </c>
      <c r="D50" s="14">
        <v>204.0</v>
      </c>
      <c r="E50" s="16"/>
      <c r="F50" s="14">
        <f t="shared" si="5"/>
        <v>204</v>
      </c>
      <c r="G50" s="19">
        <f t="shared" si="6"/>
        <v>1010</v>
      </c>
    </row>
    <row r="51">
      <c r="A51" s="12">
        <v>6.0</v>
      </c>
      <c r="B51" s="12" t="s">
        <v>67</v>
      </c>
      <c r="C51" s="13" t="s">
        <v>222</v>
      </c>
      <c r="D51" s="14">
        <v>214.0</v>
      </c>
      <c r="E51" s="16"/>
      <c r="F51" s="14">
        <f t="shared" si="5"/>
        <v>214</v>
      </c>
      <c r="G51" s="19">
        <f t="shared" si="6"/>
        <v>1224</v>
      </c>
    </row>
    <row r="52">
      <c r="A52" s="12">
        <v>7.0</v>
      </c>
      <c r="B52" s="12" t="s">
        <v>180</v>
      </c>
      <c r="C52" s="13" t="s">
        <v>229</v>
      </c>
      <c r="D52" s="14">
        <v>382.0</v>
      </c>
      <c r="E52" s="14">
        <v>401.0</v>
      </c>
      <c r="F52" s="14">
        <f t="shared" si="5"/>
        <v>783</v>
      </c>
      <c r="G52" s="19">
        <f t="shared" si="6"/>
        <v>2007</v>
      </c>
    </row>
    <row r="53">
      <c r="A53" s="12">
        <v>8.0</v>
      </c>
      <c r="B53" s="12" t="s">
        <v>173</v>
      </c>
      <c r="C53" s="13" t="s">
        <v>220</v>
      </c>
      <c r="D53" s="14">
        <v>236.0</v>
      </c>
      <c r="E53" s="16"/>
      <c r="F53" s="14">
        <f t="shared" si="5"/>
        <v>236</v>
      </c>
      <c r="G53" s="19">
        <f t="shared" si="6"/>
        <v>2243</v>
      </c>
    </row>
    <row r="54">
      <c r="A54" s="12">
        <v>9.0</v>
      </c>
      <c r="B54" s="12" t="s">
        <v>170</v>
      </c>
      <c r="C54" s="13" t="s">
        <v>217</v>
      </c>
      <c r="D54" s="14">
        <v>248.0</v>
      </c>
      <c r="E54" s="16"/>
      <c r="F54" s="14">
        <f t="shared" si="5"/>
        <v>248</v>
      </c>
      <c r="G54" s="19">
        <f t="shared" si="6"/>
        <v>2491</v>
      </c>
    </row>
    <row r="55">
      <c r="A55" s="12">
        <v>10.0</v>
      </c>
      <c r="B55" s="12" t="s">
        <v>173</v>
      </c>
      <c r="C55" s="13" t="s">
        <v>220</v>
      </c>
      <c r="D55" s="14">
        <v>260.0</v>
      </c>
      <c r="E55" s="16"/>
      <c r="F55" s="14">
        <f t="shared" si="5"/>
        <v>260</v>
      </c>
      <c r="G55" s="19">
        <f t="shared" si="6"/>
        <v>2751</v>
      </c>
    </row>
    <row r="56">
      <c r="A56" s="12">
        <v>11.0</v>
      </c>
      <c r="B56" s="12" t="s">
        <v>170</v>
      </c>
      <c r="C56" s="13" t="s">
        <v>217</v>
      </c>
      <c r="D56" s="14">
        <v>273.0</v>
      </c>
      <c r="E56" s="16"/>
      <c r="F56" s="14">
        <f t="shared" si="5"/>
        <v>273</v>
      </c>
      <c r="G56" s="19">
        <f t="shared" si="6"/>
        <v>3024</v>
      </c>
    </row>
    <row r="57">
      <c r="A57" s="12">
        <v>12.0</v>
      </c>
      <c r="B57" s="12" t="s">
        <v>173</v>
      </c>
      <c r="C57" s="13" t="s">
        <v>220</v>
      </c>
      <c r="D57" s="14">
        <v>287.0</v>
      </c>
      <c r="E57" s="16"/>
      <c r="F57" s="14">
        <f t="shared" si="5"/>
        <v>287</v>
      </c>
      <c r="G57" s="19">
        <f t="shared" si="6"/>
        <v>3311</v>
      </c>
    </row>
    <row r="58">
      <c r="A58" s="12">
        <v>13.0</v>
      </c>
      <c r="B58" s="12" t="s">
        <v>170</v>
      </c>
      <c r="C58" s="13" t="s">
        <v>217</v>
      </c>
      <c r="D58" s="14">
        <v>301.0</v>
      </c>
      <c r="E58" s="16"/>
      <c r="F58" s="14">
        <f t="shared" si="5"/>
        <v>301</v>
      </c>
      <c r="G58" s="19">
        <f t="shared" si="6"/>
        <v>3612</v>
      </c>
    </row>
    <row r="59">
      <c r="A59" s="12">
        <v>14.0</v>
      </c>
      <c r="B59" s="12" t="s">
        <v>170</v>
      </c>
      <c r="C59" s="13" t="s">
        <v>217</v>
      </c>
      <c r="D59" s="14">
        <v>248.0</v>
      </c>
      <c r="E59" s="16"/>
      <c r="F59" s="14">
        <f t="shared" si="5"/>
        <v>248</v>
      </c>
      <c r="G59" s="19">
        <f t="shared" si="6"/>
        <v>3860</v>
      </c>
    </row>
    <row r="60">
      <c r="A60" s="12">
        <v>15.0</v>
      </c>
      <c r="B60" s="12" t="s">
        <v>177</v>
      </c>
      <c r="C60" s="13" t="s">
        <v>223</v>
      </c>
      <c r="D60" s="14">
        <v>236.0</v>
      </c>
      <c r="E60" s="16"/>
      <c r="F60" s="14">
        <f t="shared" si="5"/>
        <v>236</v>
      </c>
      <c r="G60" s="19">
        <f t="shared" si="6"/>
        <v>4096</v>
      </c>
    </row>
    <row r="61">
      <c r="A61" s="12">
        <v>16.0</v>
      </c>
      <c r="B61" s="12" t="s">
        <v>67</v>
      </c>
      <c r="C61" s="13" t="s">
        <v>222</v>
      </c>
      <c r="D61" s="14">
        <v>248.0</v>
      </c>
      <c r="E61" s="16"/>
      <c r="F61" s="14">
        <f t="shared" si="5"/>
        <v>248</v>
      </c>
      <c r="G61" s="19">
        <f t="shared" si="6"/>
        <v>4344</v>
      </c>
    </row>
    <row r="62">
      <c r="A62" s="12">
        <v>17.0</v>
      </c>
      <c r="B62" s="12" t="s">
        <v>187</v>
      </c>
      <c r="C62" s="13" t="s">
        <v>250</v>
      </c>
      <c r="D62" s="14">
        <v>1172.0</v>
      </c>
      <c r="E62" s="16"/>
      <c r="F62" s="14">
        <f t="shared" si="5"/>
        <v>1172</v>
      </c>
      <c r="G62" s="19">
        <f t="shared" si="6"/>
        <v>5516</v>
      </c>
    </row>
    <row r="63">
      <c r="A63" s="12">
        <v>18.0</v>
      </c>
      <c r="B63" s="12" t="s">
        <v>67</v>
      </c>
      <c r="C63" s="13" t="s">
        <v>222</v>
      </c>
      <c r="D63" s="14">
        <v>248.0</v>
      </c>
      <c r="E63" s="16"/>
      <c r="F63" s="14">
        <f t="shared" si="5"/>
        <v>248</v>
      </c>
      <c r="G63" s="19">
        <f t="shared" si="6"/>
        <v>5764</v>
      </c>
    </row>
    <row r="64">
      <c r="A64" s="12">
        <v>19.0</v>
      </c>
      <c r="B64" s="12" t="s">
        <v>177</v>
      </c>
      <c r="C64" s="13" t="s">
        <v>223</v>
      </c>
      <c r="D64" s="14">
        <v>260.0</v>
      </c>
      <c r="E64" s="16"/>
      <c r="F64" s="14">
        <f t="shared" si="5"/>
        <v>260</v>
      </c>
      <c r="G64" s="19">
        <f t="shared" si="6"/>
        <v>6024</v>
      </c>
    </row>
    <row r="65">
      <c r="A65" s="12">
        <v>20.0</v>
      </c>
      <c r="B65" s="12" t="s">
        <v>67</v>
      </c>
      <c r="C65" s="13" t="s">
        <v>222</v>
      </c>
      <c r="D65" s="14">
        <v>273.0</v>
      </c>
      <c r="E65" s="16"/>
      <c r="F65" s="14">
        <f t="shared" si="5"/>
        <v>273</v>
      </c>
      <c r="G65" s="19">
        <f t="shared" si="6"/>
        <v>6297</v>
      </c>
    </row>
    <row r="66">
      <c r="A66" s="12">
        <v>21.0</v>
      </c>
      <c r="B66" s="12" t="s">
        <v>177</v>
      </c>
      <c r="C66" s="13" t="s">
        <v>223</v>
      </c>
      <c r="D66" s="14">
        <v>287.0</v>
      </c>
      <c r="E66" s="16"/>
      <c r="F66" s="14">
        <f t="shared" si="5"/>
        <v>287</v>
      </c>
      <c r="G66" s="19">
        <f t="shared" si="6"/>
        <v>6584</v>
      </c>
    </row>
    <row r="67">
      <c r="A67" s="12">
        <v>22.0</v>
      </c>
      <c r="B67" s="12" t="s">
        <v>67</v>
      </c>
      <c r="C67" s="13" t="s">
        <v>222</v>
      </c>
      <c r="D67" s="14">
        <v>301.0</v>
      </c>
      <c r="E67" s="16"/>
      <c r="F67" s="14">
        <f t="shared" si="5"/>
        <v>301</v>
      </c>
      <c r="G67" s="19">
        <f t="shared" si="6"/>
        <v>6885</v>
      </c>
    </row>
    <row r="68">
      <c r="A68" s="12">
        <v>23.0</v>
      </c>
      <c r="B68" s="12" t="s">
        <v>180</v>
      </c>
      <c r="C68" s="13" t="s">
        <v>229</v>
      </c>
      <c r="D68" s="14">
        <v>538.0</v>
      </c>
      <c r="E68" s="14">
        <v>565.0</v>
      </c>
      <c r="F68" s="14">
        <f t="shared" si="5"/>
        <v>1103</v>
      </c>
      <c r="G68" s="19">
        <f t="shared" si="6"/>
        <v>7988</v>
      </c>
    </row>
    <row r="69">
      <c r="A69" s="24"/>
      <c r="B69" s="24"/>
      <c r="C69" s="26"/>
      <c r="D69" s="27">
        <v>25.0</v>
      </c>
      <c r="E69" s="28"/>
      <c r="F69" s="27">
        <f>SUM(F46:F68)</f>
        <v>7988</v>
      </c>
      <c r="G69" s="29">
        <f>G68</f>
        <v>7988</v>
      </c>
    </row>
    <row r="70">
      <c r="C70" s="30"/>
      <c r="G70" s="30"/>
    </row>
    <row r="71">
      <c r="A71" s="4" t="s">
        <v>198</v>
      </c>
      <c r="B71" s="5"/>
      <c r="C71" s="5"/>
      <c r="D71" s="5"/>
      <c r="E71" s="5"/>
      <c r="F71" s="5"/>
      <c r="G71" s="6"/>
    </row>
    <row r="72">
      <c r="A72" s="7"/>
      <c r="B72" s="8"/>
      <c r="C72" s="8"/>
      <c r="D72" s="8"/>
      <c r="E72" s="8"/>
      <c r="F72" s="8"/>
      <c r="G72" s="9"/>
    </row>
    <row r="73">
      <c r="A73" s="10"/>
      <c r="B73" s="10" t="s">
        <v>6</v>
      </c>
      <c r="C73" s="11" t="s">
        <v>7</v>
      </c>
      <c r="D73" s="10" t="s">
        <v>8</v>
      </c>
      <c r="E73" s="10" t="s">
        <v>9</v>
      </c>
      <c r="F73" s="10" t="s">
        <v>10</v>
      </c>
      <c r="G73" s="11" t="s">
        <v>11</v>
      </c>
    </row>
    <row r="74">
      <c r="A74" s="12">
        <v>1.0</v>
      </c>
      <c r="B74" s="12" t="s">
        <v>200</v>
      </c>
      <c r="C74" s="13" t="s">
        <v>260</v>
      </c>
      <c r="D74" s="14">
        <v>226.0</v>
      </c>
      <c r="E74" s="16"/>
      <c r="F74" s="14">
        <f t="shared" ref="F74:F101" si="7">SUM(D74:E74)</f>
        <v>226</v>
      </c>
      <c r="G74" s="19">
        <f>F74</f>
        <v>226</v>
      </c>
    </row>
    <row r="75">
      <c r="A75" s="12">
        <v>2.0</v>
      </c>
      <c r="B75" s="12" t="s">
        <v>202</v>
      </c>
      <c r="C75" s="13" t="s">
        <v>262</v>
      </c>
      <c r="D75" s="14">
        <v>238.0</v>
      </c>
      <c r="E75" s="16"/>
      <c r="F75" s="14">
        <f t="shared" si="7"/>
        <v>238</v>
      </c>
      <c r="G75" s="19">
        <f t="shared" ref="G75:G101" si="8">G74+F75</f>
        <v>464</v>
      </c>
    </row>
    <row r="76">
      <c r="A76" s="12">
        <v>3.0</v>
      </c>
      <c r="B76" s="12" t="s">
        <v>202</v>
      </c>
      <c r="C76" s="13" t="s">
        <v>262</v>
      </c>
      <c r="D76" s="14">
        <v>249.0</v>
      </c>
      <c r="E76" s="16"/>
      <c r="F76" s="14">
        <f t="shared" si="7"/>
        <v>249</v>
      </c>
      <c r="G76" s="19">
        <f t="shared" si="8"/>
        <v>713</v>
      </c>
    </row>
    <row r="77">
      <c r="A77" s="12">
        <v>4.0</v>
      </c>
      <c r="B77" s="12" t="s">
        <v>202</v>
      </c>
      <c r="C77" s="13" t="s">
        <v>262</v>
      </c>
      <c r="D77" s="14">
        <v>262.0</v>
      </c>
      <c r="E77" s="16"/>
      <c r="F77" s="14">
        <f t="shared" si="7"/>
        <v>262</v>
      </c>
      <c r="G77" s="19">
        <f t="shared" si="8"/>
        <v>975</v>
      </c>
    </row>
    <row r="78">
      <c r="A78" s="12">
        <v>5.0</v>
      </c>
      <c r="B78" s="12" t="s">
        <v>206</v>
      </c>
      <c r="C78" s="13" t="s">
        <v>266</v>
      </c>
      <c r="D78" s="14">
        <v>238.0</v>
      </c>
      <c r="E78" s="16"/>
      <c r="F78" s="14">
        <f t="shared" si="7"/>
        <v>238</v>
      </c>
      <c r="G78" s="19">
        <f t="shared" si="8"/>
        <v>1213</v>
      </c>
    </row>
    <row r="79">
      <c r="A79" s="12">
        <v>6.0</v>
      </c>
      <c r="B79" s="12" t="s">
        <v>206</v>
      </c>
      <c r="C79" s="13" t="s">
        <v>266</v>
      </c>
      <c r="D79" s="14">
        <v>249.0</v>
      </c>
      <c r="E79" s="16"/>
      <c r="F79" s="14">
        <f t="shared" si="7"/>
        <v>249</v>
      </c>
      <c r="G79" s="19">
        <f t="shared" si="8"/>
        <v>1462</v>
      </c>
    </row>
    <row r="80">
      <c r="A80" s="12">
        <v>7.0</v>
      </c>
      <c r="B80" s="12" t="s">
        <v>206</v>
      </c>
      <c r="C80" s="13" t="s">
        <v>266</v>
      </c>
      <c r="D80" s="14">
        <v>262.0</v>
      </c>
      <c r="E80" s="16"/>
      <c r="F80" s="14">
        <f t="shared" si="7"/>
        <v>262</v>
      </c>
      <c r="G80" s="19">
        <f t="shared" si="8"/>
        <v>1724</v>
      </c>
    </row>
    <row r="81">
      <c r="A81" s="12">
        <v>8.0</v>
      </c>
      <c r="B81" s="12" t="s">
        <v>210</v>
      </c>
      <c r="C81" s="13" t="s">
        <v>267</v>
      </c>
      <c r="D81" s="14">
        <v>275.0</v>
      </c>
      <c r="E81" s="16"/>
      <c r="F81" s="14">
        <f t="shared" si="7"/>
        <v>275</v>
      </c>
      <c r="G81" s="19">
        <f t="shared" si="8"/>
        <v>1999</v>
      </c>
    </row>
    <row r="82">
      <c r="A82" s="12">
        <v>9.0</v>
      </c>
      <c r="B82" s="12" t="s">
        <v>212</v>
      </c>
      <c r="C82" s="13" t="s">
        <v>268</v>
      </c>
      <c r="D82" s="14">
        <v>491.0</v>
      </c>
      <c r="E82" s="14">
        <v>516.0</v>
      </c>
      <c r="F82" s="14">
        <f t="shared" si="7"/>
        <v>1007</v>
      </c>
      <c r="G82" s="19">
        <f t="shared" si="8"/>
        <v>3006</v>
      </c>
    </row>
    <row r="83">
      <c r="A83" s="12">
        <v>10.0</v>
      </c>
      <c r="B83" s="12" t="s">
        <v>214</v>
      </c>
      <c r="C83" s="13" t="s">
        <v>269</v>
      </c>
      <c r="D83" s="14">
        <v>226.0</v>
      </c>
      <c r="E83" s="16"/>
      <c r="F83" s="14">
        <f t="shared" si="7"/>
        <v>226</v>
      </c>
      <c r="G83" s="19">
        <f t="shared" si="8"/>
        <v>3232</v>
      </c>
    </row>
    <row r="84">
      <c r="A84" s="12">
        <v>11.0</v>
      </c>
      <c r="B84" s="12" t="s">
        <v>218</v>
      </c>
      <c r="C84" s="13" t="s">
        <v>271</v>
      </c>
      <c r="D84" s="14">
        <v>238.0</v>
      </c>
      <c r="E84" s="16"/>
      <c r="F84" s="14">
        <f t="shared" si="7"/>
        <v>238</v>
      </c>
      <c r="G84" s="19">
        <f t="shared" si="8"/>
        <v>3470</v>
      </c>
    </row>
    <row r="85">
      <c r="A85" s="12">
        <v>12.0</v>
      </c>
      <c r="B85" s="12" t="s">
        <v>218</v>
      </c>
      <c r="C85" s="13" t="s">
        <v>271</v>
      </c>
      <c r="D85" s="14">
        <v>249.0</v>
      </c>
      <c r="E85" s="16"/>
      <c r="F85" s="14">
        <f t="shared" si="7"/>
        <v>249</v>
      </c>
      <c r="G85" s="19">
        <f t="shared" si="8"/>
        <v>3719</v>
      </c>
    </row>
    <row r="86">
      <c r="A86" s="12">
        <v>13.0</v>
      </c>
      <c r="B86" s="12" t="s">
        <v>218</v>
      </c>
      <c r="C86" s="13" t="s">
        <v>271</v>
      </c>
      <c r="D86" s="14">
        <v>262.0</v>
      </c>
      <c r="E86" s="16"/>
      <c r="F86" s="14">
        <f t="shared" si="7"/>
        <v>262</v>
      </c>
      <c r="G86" s="19">
        <f t="shared" si="8"/>
        <v>3981</v>
      </c>
    </row>
    <row r="87">
      <c r="A87" s="12">
        <v>14.0</v>
      </c>
      <c r="B87" s="12" t="s">
        <v>157</v>
      </c>
      <c r="C87" s="13" t="s">
        <v>272</v>
      </c>
      <c r="D87" s="14">
        <v>238.0</v>
      </c>
      <c r="E87" s="16"/>
      <c r="F87" s="14">
        <f t="shared" si="7"/>
        <v>238</v>
      </c>
      <c r="G87" s="19">
        <f t="shared" si="8"/>
        <v>4219</v>
      </c>
    </row>
    <row r="88">
      <c r="A88" s="12">
        <v>15.0</v>
      </c>
      <c r="B88" s="12" t="s">
        <v>157</v>
      </c>
      <c r="C88" s="13" t="s">
        <v>272</v>
      </c>
      <c r="D88" s="14">
        <v>249.0</v>
      </c>
      <c r="E88" s="16"/>
      <c r="F88" s="14">
        <f t="shared" si="7"/>
        <v>249</v>
      </c>
      <c r="G88" s="19">
        <f t="shared" si="8"/>
        <v>4468</v>
      </c>
    </row>
    <row r="89">
      <c r="A89" s="12">
        <v>16.0</v>
      </c>
      <c r="B89" s="12" t="s">
        <v>157</v>
      </c>
      <c r="C89" s="13" t="s">
        <v>272</v>
      </c>
      <c r="D89" s="14">
        <v>262.0</v>
      </c>
      <c r="E89" s="16"/>
      <c r="F89" s="14">
        <f t="shared" si="7"/>
        <v>262</v>
      </c>
      <c r="G89" s="19">
        <f t="shared" si="8"/>
        <v>4730</v>
      </c>
    </row>
    <row r="90">
      <c r="A90" s="12">
        <v>17.0</v>
      </c>
      <c r="B90" s="12" t="s">
        <v>224</v>
      </c>
      <c r="C90" s="13" t="s">
        <v>273</v>
      </c>
      <c r="D90" s="14">
        <v>275.0</v>
      </c>
      <c r="E90" s="16"/>
      <c r="F90" s="14">
        <f t="shared" si="7"/>
        <v>275</v>
      </c>
      <c r="G90" s="19">
        <f t="shared" si="8"/>
        <v>5005</v>
      </c>
    </row>
    <row r="91">
      <c r="A91" s="12">
        <v>18.0</v>
      </c>
      <c r="B91" s="12" t="s">
        <v>230</v>
      </c>
      <c r="C91" s="13" t="s">
        <v>274</v>
      </c>
      <c r="D91" s="14">
        <v>491.0</v>
      </c>
      <c r="E91" s="14">
        <v>516.0</v>
      </c>
      <c r="F91" s="14">
        <f t="shared" si="7"/>
        <v>1007</v>
      </c>
      <c r="G91" s="19">
        <f t="shared" si="8"/>
        <v>6012</v>
      </c>
    </row>
    <row r="92">
      <c r="A92" s="12">
        <v>19.0</v>
      </c>
      <c r="B92" s="12" t="s">
        <v>275</v>
      </c>
      <c r="C92" s="23" t="s">
        <v>277</v>
      </c>
      <c r="D92" s="14">
        <v>1366.0</v>
      </c>
      <c r="E92" s="16"/>
      <c r="F92" s="14">
        <f t="shared" si="7"/>
        <v>1366</v>
      </c>
      <c r="G92" s="19">
        <f t="shared" si="8"/>
        <v>7378</v>
      </c>
    </row>
    <row r="93">
      <c r="A93" s="12">
        <v>20.0</v>
      </c>
      <c r="B93" s="12" t="s">
        <v>226</v>
      </c>
      <c r="C93" s="13" t="s">
        <v>278</v>
      </c>
      <c r="D93" s="14">
        <v>226.0</v>
      </c>
      <c r="E93" s="16"/>
      <c r="F93" s="14">
        <f t="shared" si="7"/>
        <v>226</v>
      </c>
      <c r="G93" s="19">
        <f t="shared" si="8"/>
        <v>7604</v>
      </c>
    </row>
    <row r="94">
      <c r="A94" s="12">
        <v>21.0</v>
      </c>
      <c r="B94" s="12" t="s">
        <v>237</v>
      </c>
      <c r="C94" s="13" t="s">
        <v>279</v>
      </c>
      <c r="D94" s="14">
        <v>238.0</v>
      </c>
      <c r="E94" s="16"/>
      <c r="F94" s="14">
        <f t="shared" si="7"/>
        <v>238</v>
      </c>
      <c r="G94" s="19">
        <f t="shared" si="8"/>
        <v>7842</v>
      </c>
    </row>
    <row r="95">
      <c r="A95" s="12">
        <v>22.0</v>
      </c>
      <c r="B95" s="12" t="s">
        <v>237</v>
      </c>
      <c r="C95" s="13" t="s">
        <v>279</v>
      </c>
      <c r="D95" s="14">
        <v>249.0</v>
      </c>
      <c r="E95" s="16"/>
      <c r="F95" s="14">
        <f t="shared" si="7"/>
        <v>249</v>
      </c>
      <c r="G95" s="19">
        <f t="shared" si="8"/>
        <v>8091</v>
      </c>
    </row>
    <row r="96">
      <c r="A96" s="12">
        <v>23.0</v>
      </c>
      <c r="B96" s="12" t="s">
        <v>237</v>
      </c>
      <c r="C96" s="13" t="s">
        <v>279</v>
      </c>
      <c r="D96" s="14">
        <v>262.0</v>
      </c>
      <c r="E96" s="16"/>
      <c r="F96" s="14">
        <f t="shared" si="7"/>
        <v>262</v>
      </c>
      <c r="G96" s="19">
        <f t="shared" si="8"/>
        <v>8353</v>
      </c>
    </row>
    <row r="97">
      <c r="A97" s="12">
        <v>24.0</v>
      </c>
      <c r="B97" s="12" t="s">
        <v>234</v>
      </c>
      <c r="C97" s="13" t="s">
        <v>283</v>
      </c>
      <c r="D97" s="14">
        <v>238.0</v>
      </c>
      <c r="E97" s="16"/>
      <c r="F97" s="14">
        <f t="shared" si="7"/>
        <v>238</v>
      </c>
      <c r="G97" s="19">
        <f t="shared" si="8"/>
        <v>8591</v>
      </c>
    </row>
    <row r="98">
      <c r="A98" s="12">
        <v>25.0</v>
      </c>
      <c r="B98" s="12" t="s">
        <v>234</v>
      </c>
      <c r="C98" s="13" t="s">
        <v>283</v>
      </c>
      <c r="D98" s="14">
        <v>249.0</v>
      </c>
      <c r="E98" s="16"/>
      <c r="F98" s="14">
        <f t="shared" si="7"/>
        <v>249</v>
      </c>
      <c r="G98" s="19">
        <f t="shared" si="8"/>
        <v>8840</v>
      </c>
    </row>
    <row r="99">
      <c r="A99" s="12">
        <v>26.0</v>
      </c>
      <c r="B99" s="12" t="s">
        <v>234</v>
      </c>
      <c r="C99" s="13" t="s">
        <v>283</v>
      </c>
      <c r="D99" s="14">
        <v>262.0</v>
      </c>
      <c r="E99" s="16"/>
      <c r="F99" s="14">
        <f t="shared" si="7"/>
        <v>262</v>
      </c>
      <c r="G99" s="19">
        <f t="shared" si="8"/>
        <v>9102</v>
      </c>
    </row>
    <row r="100">
      <c r="A100" s="12">
        <v>27.0</v>
      </c>
      <c r="B100" s="12" t="s">
        <v>242</v>
      </c>
      <c r="C100" s="13" t="s">
        <v>284</v>
      </c>
      <c r="D100" s="14">
        <v>275.0</v>
      </c>
      <c r="E100" s="16"/>
      <c r="F100" s="14">
        <f t="shared" si="7"/>
        <v>275</v>
      </c>
      <c r="G100" s="19">
        <f t="shared" si="8"/>
        <v>9377</v>
      </c>
    </row>
    <row r="101">
      <c r="A101" s="12">
        <v>28.0</v>
      </c>
      <c r="B101" s="12" t="s">
        <v>244</v>
      </c>
      <c r="C101" s="13" t="s">
        <v>285</v>
      </c>
      <c r="D101" s="14">
        <v>491.0</v>
      </c>
      <c r="E101" s="14">
        <v>516.0</v>
      </c>
      <c r="F101" s="14">
        <f t="shared" si="7"/>
        <v>1007</v>
      </c>
      <c r="G101" s="19">
        <f t="shared" si="8"/>
        <v>10384</v>
      </c>
    </row>
    <row r="102">
      <c r="A102" s="24"/>
      <c r="B102" s="24"/>
      <c r="C102" s="26"/>
      <c r="D102" s="27">
        <v>31.0</v>
      </c>
      <c r="E102" s="28"/>
      <c r="F102" s="27">
        <f>SUM(F74:F101)</f>
        <v>10384</v>
      </c>
      <c r="G102" s="29">
        <f>G101</f>
        <v>10384</v>
      </c>
    </row>
  </sheetData>
  <mergeCells count="4">
    <mergeCell ref="A1:G2"/>
    <mergeCell ref="A20:G21"/>
    <mergeCell ref="A43:G44"/>
    <mergeCell ref="A71:G72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19.43"/>
    <col customWidth="1" min="3" max="3" width="59.57"/>
    <col customWidth="1" min="4" max="5" width="7.14"/>
    <col customWidth="1" min="6" max="6" width="7.0"/>
    <col customWidth="1" min="7" max="7" width="8.57"/>
  </cols>
  <sheetData>
    <row r="1">
      <c r="A1" s="4" t="s">
        <v>120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12</v>
      </c>
      <c r="C4" s="13" t="s">
        <v>15</v>
      </c>
      <c r="D4" s="14">
        <v>178.0</v>
      </c>
      <c r="E4" s="16"/>
      <c r="F4" s="14">
        <f t="shared" ref="F4:F20" si="1">SUM(D4:E4)</f>
        <v>178</v>
      </c>
      <c r="G4" s="19">
        <f>F4</f>
        <v>178</v>
      </c>
    </row>
    <row r="5">
      <c r="A5" s="12">
        <v>2.0</v>
      </c>
      <c r="B5" s="12" t="s">
        <v>12</v>
      </c>
      <c r="C5" s="13" t="s">
        <v>15</v>
      </c>
      <c r="D5" s="14">
        <v>187.0</v>
      </c>
      <c r="E5" s="16"/>
      <c r="F5" s="14">
        <f t="shared" si="1"/>
        <v>187</v>
      </c>
      <c r="G5" s="19">
        <f t="shared" ref="G5:G20" si="2">G4+F5</f>
        <v>365</v>
      </c>
    </row>
    <row r="6">
      <c r="A6" s="12">
        <v>3.0</v>
      </c>
      <c r="B6" s="12" t="s">
        <v>12</v>
      </c>
      <c r="C6" s="13" t="s">
        <v>15</v>
      </c>
      <c r="D6" s="14">
        <v>197.0</v>
      </c>
      <c r="E6" s="16"/>
      <c r="F6" s="14">
        <f t="shared" si="1"/>
        <v>197</v>
      </c>
      <c r="G6" s="19">
        <f t="shared" si="2"/>
        <v>562</v>
      </c>
    </row>
    <row r="7">
      <c r="A7" s="12">
        <v>4.0</v>
      </c>
      <c r="B7" s="12" t="s">
        <v>12</v>
      </c>
      <c r="C7" s="13" t="s">
        <v>15</v>
      </c>
      <c r="D7" s="14">
        <v>206.0</v>
      </c>
      <c r="E7" s="16"/>
      <c r="F7" s="14">
        <f t="shared" si="1"/>
        <v>206</v>
      </c>
      <c r="G7" s="19">
        <f t="shared" si="2"/>
        <v>768</v>
      </c>
    </row>
    <row r="8">
      <c r="A8" s="12">
        <v>5.0</v>
      </c>
      <c r="B8" s="12" t="s">
        <v>12</v>
      </c>
      <c r="C8" s="13" t="s">
        <v>15</v>
      </c>
      <c r="D8" s="14">
        <v>217.0</v>
      </c>
      <c r="E8" s="16"/>
      <c r="F8" s="14">
        <f t="shared" si="1"/>
        <v>217</v>
      </c>
      <c r="G8" s="19">
        <f t="shared" si="2"/>
        <v>985</v>
      </c>
    </row>
    <row r="9">
      <c r="A9" s="12">
        <v>6.0</v>
      </c>
      <c r="B9" s="12" t="s">
        <v>12</v>
      </c>
      <c r="C9" s="13" t="s">
        <v>15</v>
      </c>
      <c r="D9" s="14">
        <v>228.0</v>
      </c>
      <c r="E9" s="16"/>
      <c r="F9" s="14">
        <f t="shared" si="1"/>
        <v>228</v>
      </c>
      <c r="G9" s="19">
        <f t="shared" si="2"/>
        <v>1213</v>
      </c>
    </row>
    <row r="10">
      <c r="A10" s="12">
        <v>7.0</v>
      </c>
      <c r="B10" s="12" t="s">
        <v>281</v>
      </c>
      <c r="C10" s="13" t="s">
        <v>282</v>
      </c>
      <c r="D10" s="14">
        <v>407.0</v>
      </c>
      <c r="E10" s="14">
        <v>427.0</v>
      </c>
      <c r="F10" s="14">
        <f t="shared" si="1"/>
        <v>834</v>
      </c>
      <c r="G10" s="19">
        <f t="shared" si="2"/>
        <v>2047</v>
      </c>
    </row>
    <row r="11">
      <c r="A11" s="12">
        <v>8.0</v>
      </c>
      <c r="B11" s="12" t="s">
        <v>22</v>
      </c>
      <c r="C11" s="13" t="s">
        <v>24</v>
      </c>
      <c r="D11" s="14">
        <v>178.0</v>
      </c>
      <c r="E11" s="16"/>
      <c r="F11" s="14">
        <f t="shared" si="1"/>
        <v>178</v>
      </c>
      <c r="G11" s="19">
        <f t="shared" si="2"/>
        <v>2225</v>
      </c>
    </row>
    <row r="12">
      <c r="A12" s="12">
        <v>9.0</v>
      </c>
      <c r="B12" s="12" t="s">
        <v>22</v>
      </c>
      <c r="C12" s="13" t="s">
        <v>24</v>
      </c>
      <c r="D12" s="14">
        <v>187.0</v>
      </c>
      <c r="E12" s="16"/>
      <c r="F12" s="14">
        <f t="shared" si="1"/>
        <v>187</v>
      </c>
      <c r="G12" s="19">
        <f t="shared" si="2"/>
        <v>2412</v>
      </c>
    </row>
    <row r="13">
      <c r="A13" s="12">
        <v>10.0</v>
      </c>
      <c r="B13" s="12" t="s">
        <v>25</v>
      </c>
      <c r="C13" s="13" t="s">
        <v>30</v>
      </c>
      <c r="D13" s="14">
        <v>178.0</v>
      </c>
      <c r="E13" s="16"/>
      <c r="F13" s="14">
        <f t="shared" si="1"/>
        <v>178</v>
      </c>
      <c r="G13" s="19">
        <f t="shared" si="2"/>
        <v>2590</v>
      </c>
    </row>
    <row r="14">
      <c r="A14" s="12">
        <v>11.0</v>
      </c>
      <c r="B14" s="12" t="s">
        <v>25</v>
      </c>
      <c r="C14" s="13" t="s">
        <v>30</v>
      </c>
      <c r="D14" s="14">
        <v>187.0</v>
      </c>
      <c r="E14" s="16"/>
      <c r="F14" s="14">
        <f t="shared" si="1"/>
        <v>187</v>
      </c>
      <c r="G14" s="19">
        <f t="shared" si="2"/>
        <v>2777</v>
      </c>
    </row>
    <row r="15">
      <c r="A15" s="12">
        <v>12.0</v>
      </c>
      <c r="B15" s="12" t="s">
        <v>25</v>
      </c>
      <c r="C15" s="13" t="s">
        <v>30</v>
      </c>
      <c r="D15" s="14">
        <v>197.0</v>
      </c>
      <c r="E15" s="16"/>
      <c r="F15" s="14">
        <f t="shared" si="1"/>
        <v>197</v>
      </c>
      <c r="G15" s="19">
        <f t="shared" si="2"/>
        <v>2974</v>
      </c>
    </row>
    <row r="16">
      <c r="A16" s="12">
        <v>13.0</v>
      </c>
      <c r="B16" s="12" t="s">
        <v>25</v>
      </c>
      <c r="C16" s="13" t="s">
        <v>30</v>
      </c>
      <c r="D16" s="14">
        <v>206.0</v>
      </c>
      <c r="E16" s="16"/>
      <c r="F16" s="14">
        <f t="shared" si="1"/>
        <v>206</v>
      </c>
      <c r="G16" s="19">
        <f t="shared" si="2"/>
        <v>3180</v>
      </c>
    </row>
    <row r="17">
      <c r="A17" s="12">
        <v>14.0</v>
      </c>
      <c r="B17" s="12" t="s">
        <v>25</v>
      </c>
      <c r="C17" s="13" t="s">
        <v>30</v>
      </c>
      <c r="D17" s="14">
        <v>217.0</v>
      </c>
      <c r="E17" s="16"/>
      <c r="F17" s="14">
        <f t="shared" si="1"/>
        <v>217</v>
      </c>
      <c r="G17" s="19">
        <f t="shared" si="2"/>
        <v>3397</v>
      </c>
    </row>
    <row r="18">
      <c r="A18" s="12">
        <v>15.0</v>
      </c>
      <c r="B18" s="12" t="s">
        <v>25</v>
      </c>
      <c r="C18" s="13" t="s">
        <v>30</v>
      </c>
      <c r="D18" s="14">
        <v>228.0</v>
      </c>
      <c r="E18" s="16"/>
      <c r="F18" s="14">
        <f t="shared" si="1"/>
        <v>228</v>
      </c>
      <c r="G18" s="19">
        <f t="shared" si="2"/>
        <v>3625</v>
      </c>
    </row>
    <row r="19">
      <c r="A19" s="12">
        <v>16.0</v>
      </c>
      <c r="B19" s="12" t="s">
        <v>28</v>
      </c>
      <c r="C19" s="13" t="s">
        <v>31</v>
      </c>
      <c r="D19" s="14">
        <v>407.0</v>
      </c>
      <c r="E19" s="14">
        <v>427.0</v>
      </c>
      <c r="F19" s="14">
        <f t="shared" si="1"/>
        <v>834</v>
      </c>
      <c r="G19" s="19">
        <f t="shared" si="2"/>
        <v>4459</v>
      </c>
    </row>
    <row r="20">
      <c r="A20" s="12">
        <v>17.0</v>
      </c>
      <c r="B20" s="12" t="s">
        <v>287</v>
      </c>
      <c r="C20" s="23" t="s">
        <v>288</v>
      </c>
      <c r="D20" s="14">
        <v>1131.0</v>
      </c>
      <c r="E20" s="16"/>
      <c r="F20" s="14">
        <f t="shared" si="1"/>
        <v>1131</v>
      </c>
      <c r="G20" s="19">
        <f t="shared" si="2"/>
        <v>5590</v>
      </c>
    </row>
    <row r="21">
      <c r="A21" s="24"/>
      <c r="B21" s="24"/>
      <c r="C21" s="26"/>
      <c r="D21" s="27">
        <v>19.0</v>
      </c>
      <c r="E21" s="28"/>
      <c r="F21" s="27">
        <f>SUM(F4:F20)</f>
        <v>5590</v>
      </c>
      <c r="G21" s="29">
        <f>G20</f>
        <v>5590</v>
      </c>
    </row>
    <row r="22">
      <c r="C22" s="30"/>
      <c r="G22" s="30"/>
    </row>
    <row r="23">
      <c r="A23" s="4" t="s">
        <v>289</v>
      </c>
      <c r="B23" s="5"/>
      <c r="C23" s="5"/>
      <c r="D23" s="5"/>
      <c r="E23" s="5"/>
      <c r="F23" s="5"/>
      <c r="G23" s="6"/>
    </row>
    <row r="24">
      <c r="A24" s="7"/>
      <c r="B24" s="8"/>
      <c r="C24" s="8"/>
      <c r="D24" s="8"/>
      <c r="E24" s="8"/>
      <c r="F24" s="8"/>
      <c r="G24" s="9"/>
    </row>
    <row r="25">
      <c r="A25" s="10"/>
      <c r="B25" s="10" t="s">
        <v>6</v>
      </c>
      <c r="C25" s="11" t="s">
        <v>7</v>
      </c>
      <c r="D25" s="10" t="s">
        <v>8</v>
      </c>
      <c r="E25" s="10" t="s">
        <v>9</v>
      </c>
      <c r="F25" s="10" t="s">
        <v>10</v>
      </c>
      <c r="G25" s="11" t="s">
        <v>11</v>
      </c>
    </row>
    <row r="26">
      <c r="A26" s="12">
        <v>1.0</v>
      </c>
      <c r="B26" s="12" t="s">
        <v>40</v>
      </c>
      <c r="C26" s="13" t="s">
        <v>49</v>
      </c>
      <c r="D26" s="14">
        <v>268.0</v>
      </c>
      <c r="E26" s="16"/>
      <c r="F26" s="14">
        <f t="shared" ref="F26:F49" si="3">SUM(D26:E26)</f>
        <v>268</v>
      </c>
      <c r="G26" s="19">
        <f>F26</f>
        <v>268</v>
      </c>
    </row>
    <row r="27">
      <c r="A27" s="12">
        <v>2.0</v>
      </c>
      <c r="B27" s="12" t="s">
        <v>40</v>
      </c>
      <c r="C27" s="13" t="s">
        <v>49</v>
      </c>
      <c r="D27" s="14">
        <v>281.0</v>
      </c>
      <c r="E27" s="16"/>
      <c r="F27" s="14">
        <f t="shared" si="3"/>
        <v>281</v>
      </c>
      <c r="G27" s="19">
        <f t="shared" ref="G27:G49" si="4">G26+F27</f>
        <v>549</v>
      </c>
    </row>
    <row r="28">
      <c r="A28" s="12">
        <v>3.0</v>
      </c>
      <c r="B28" s="12" t="s">
        <v>40</v>
      </c>
      <c r="C28" s="13" t="s">
        <v>49</v>
      </c>
      <c r="D28" s="14">
        <v>295.0</v>
      </c>
      <c r="E28" s="16"/>
      <c r="F28" s="14">
        <f t="shared" si="3"/>
        <v>295</v>
      </c>
      <c r="G28" s="19">
        <f t="shared" si="4"/>
        <v>844</v>
      </c>
    </row>
    <row r="29">
      <c r="A29" s="12">
        <v>4.0</v>
      </c>
      <c r="B29" s="12" t="s">
        <v>43</v>
      </c>
      <c r="C29" s="13" t="s">
        <v>50</v>
      </c>
      <c r="D29" s="14">
        <v>268.0</v>
      </c>
      <c r="E29" s="16"/>
      <c r="F29" s="14">
        <f t="shared" si="3"/>
        <v>268</v>
      </c>
      <c r="G29" s="19">
        <f t="shared" si="4"/>
        <v>1112</v>
      </c>
    </row>
    <row r="30">
      <c r="A30" s="12">
        <v>5.0</v>
      </c>
      <c r="B30" s="12" t="s">
        <v>43</v>
      </c>
      <c r="C30" s="13" t="s">
        <v>50</v>
      </c>
      <c r="D30" s="14">
        <v>281.0</v>
      </c>
      <c r="E30" s="16"/>
      <c r="F30" s="14">
        <f t="shared" si="3"/>
        <v>281</v>
      </c>
      <c r="G30" s="19">
        <f t="shared" si="4"/>
        <v>1393</v>
      </c>
    </row>
    <row r="31">
      <c r="A31" s="12">
        <v>6.0</v>
      </c>
      <c r="B31" s="12" t="s">
        <v>43</v>
      </c>
      <c r="C31" s="13" t="s">
        <v>50</v>
      </c>
      <c r="D31" s="14">
        <v>295.0</v>
      </c>
      <c r="E31" s="16"/>
      <c r="F31" s="14">
        <f t="shared" si="3"/>
        <v>295</v>
      </c>
      <c r="G31" s="19">
        <f t="shared" si="4"/>
        <v>1688</v>
      </c>
    </row>
    <row r="32">
      <c r="A32" s="12">
        <v>7.0</v>
      </c>
      <c r="B32" s="12" t="s">
        <v>43</v>
      </c>
      <c r="C32" s="13" t="s">
        <v>50</v>
      </c>
      <c r="D32" s="14">
        <v>310.0</v>
      </c>
      <c r="E32" s="16"/>
      <c r="F32" s="14">
        <f t="shared" si="3"/>
        <v>310</v>
      </c>
      <c r="G32" s="19">
        <f t="shared" si="4"/>
        <v>1998</v>
      </c>
    </row>
    <row r="33">
      <c r="A33" s="12">
        <v>8.0</v>
      </c>
      <c r="B33" s="12" t="s">
        <v>45</v>
      </c>
      <c r="C33" s="13" t="s">
        <v>53</v>
      </c>
      <c r="D33" s="14">
        <v>553.0</v>
      </c>
      <c r="E33" s="14">
        <v>581.0</v>
      </c>
      <c r="F33" s="14">
        <f t="shared" si="3"/>
        <v>1134</v>
      </c>
      <c r="G33" s="19">
        <f t="shared" si="4"/>
        <v>3132</v>
      </c>
    </row>
    <row r="34">
      <c r="A34" s="12">
        <v>9.0</v>
      </c>
      <c r="B34" s="12" t="s">
        <v>40</v>
      </c>
      <c r="C34" s="13" t="s">
        <v>49</v>
      </c>
      <c r="D34" s="14">
        <v>342.0</v>
      </c>
      <c r="E34" s="16"/>
      <c r="F34" s="14">
        <f t="shared" si="3"/>
        <v>342</v>
      </c>
      <c r="G34" s="19">
        <f t="shared" si="4"/>
        <v>3474</v>
      </c>
    </row>
    <row r="35">
      <c r="A35" s="12">
        <v>10.0</v>
      </c>
      <c r="B35" s="12" t="s">
        <v>47</v>
      </c>
      <c r="C35" s="13" t="s">
        <v>57</v>
      </c>
      <c r="D35" s="14">
        <v>359.0</v>
      </c>
      <c r="E35" s="16"/>
      <c r="F35" s="14">
        <f t="shared" si="3"/>
        <v>359</v>
      </c>
      <c r="G35" s="19">
        <f t="shared" si="4"/>
        <v>3833</v>
      </c>
    </row>
    <row r="36">
      <c r="A36" s="12">
        <v>11.0</v>
      </c>
      <c r="B36" s="12" t="s">
        <v>40</v>
      </c>
      <c r="C36" s="13" t="s">
        <v>49</v>
      </c>
      <c r="D36" s="14">
        <v>377.0</v>
      </c>
      <c r="E36" s="16"/>
      <c r="F36" s="14">
        <f t="shared" si="3"/>
        <v>377</v>
      </c>
      <c r="G36" s="19">
        <f t="shared" si="4"/>
        <v>4210</v>
      </c>
    </row>
    <row r="37">
      <c r="A37" s="12">
        <v>12.0</v>
      </c>
      <c r="B37" s="12" t="s">
        <v>64</v>
      </c>
      <c r="C37" s="13" t="s">
        <v>82</v>
      </c>
      <c r="D37" s="14">
        <v>396.0</v>
      </c>
      <c r="E37" s="16"/>
      <c r="F37" s="14">
        <f t="shared" si="3"/>
        <v>396</v>
      </c>
      <c r="G37" s="19">
        <f t="shared" si="4"/>
        <v>4606</v>
      </c>
    </row>
    <row r="38">
      <c r="A38" s="12">
        <v>13.0</v>
      </c>
      <c r="B38" s="12" t="s">
        <v>40</v>
      </c>
      <c r="C38" s="13" t="s">
        <v>49</v>
      </c>
      <c r="D38" s="14">
        <v>415.0</v>
      </c>
      <c r="E38" s="16"/>
      <c r="F38" s="14">
        <f t="shared" si="3"/>
        <v>415</v>
      </c>
      <c r="G38" s="19">
        <f t="shared" si="4"/>
        <v>5021</v>
      </c>
    </row>
    <row r="39">
      <c r="A39" s="12">
        <v>14.0</v>
      </c>
      <c r="B39" s="12" t="s">
        <v>47</v>
      </c>
      <c r="C39" s="13" t="s">
        <v>57</v>
      </c>
      <c r="D39" s="14">
        <v>436.0</v>
      </c>
      <c r="E39" s="16"/>
      <c r="F39" s="14">
        <f t="shared" si="3"/>
        <v>436</v>
      </c>
      <c r="G39" s="19">
        <f t="shared" si="4"/>
        <v>5457</v>
      </c>
    </row>
    <row r="40">
      <c r="A40" s="12">
        <v>15.0</v>
      </c>
      <c r="B40" s="12" t="s">
        <v>40</v>
      </c>
      <c r="C40" s="13" t="s">
        <v>49</v>
      </c>
      <c r="D40" s="14">
        <v>458.0</v>
      </c>
      <c r="E40" s="16"/>
      <c r="F40" s="14">
        <f t="shared" si="3"/>
        <v>458</v>
      </c>
      <c r="G40" s="19">
        <f t="shared" si="4"/>
        <v>5915</v>
      </c>
    </row>
    <row r="41">
      <c r="A41" s="12">
        <v>16.0</v>
      </c>
      <c r="B41" s="12" t="s">
        <v>43</v>
      </c>
      <c r="C41" s="13" t="s">
        <v>50</v>
      </c>
      <c r="D41" s="14">
        <v>342.0</v>
      </c>
      <c r="E41" s="16"/>
      <c r="F41" s="14">
        <f t="shared" si="3"/>
        <v>342</v>
      </c>
      <c r="G41" s="19">
        <f t="shared" si="4"/>
        <v>6257</v>
      </c>
    </row>
    <row r="42">
      <c r="A42" s="12">
        <v>17.0</v>
      </c>
      <c r="B42" s="12" t="s">
        <v>51</v>
      </c>
      <c r="C42" s="13" t="s">
        <v>63</v>
      </c>
      <c r="D42" s="14">
        <v>359.0</v>
      </c>
      <c r="E42" s="16"/>
      <c r="F42" s="14">
        <f t="shared" si="3"/>
        <v>359</v>
      </c>
      <c r="G42" s="19">
        <f t="shared" si="4"/>
        <v>6616</v>
      </c>
    </row>
    <row r="43">
      <c r="A43" s="12">
        <v>18.0</v>
      </c>
      <c r="B43" s="12" t="s">
        <v>43</v>
      </c>
      <c r="C43" s="13" t="s">
        <v>50</v>
      </c>
      <c r="D43" s="14">
        <v>377.0</v>
      </c>
      <c r="E43" s="16"/>
      <c r="F43" s="14">
        <f t="shared" si="3"/>
        <v>377</v>
      </c>
      <c r="G43" s="19">
        <f t="shared" si="4"/>
        <v>6993</v>
      </c>
    </row>
    <row r="44">
      <c r="A44" s="12">
        <v>19.0</v>
      </c>
      <c r="B44" s="12" t="s">
        <v>75</v>
      </c>
      <c r="C44" s="13" t="s">
        <v>95</v>
      </c>
      <c r="D44" s="14">
        <v>396.0</v>
      </c>
      <c r="E44" s="16"/>
      <c r="F44" s="14">
        <f t="shared" si="3"/>
        <v>396</v>
      </c>
      <c r="G44" s="19">
        <f t="shared" si="4"/>
        <v>7389</v>
      </c>
    </row>
    <row r="45">
      <c r="A45" s="12">
        <v>20.0</v>
      </c>
      <c r="B45" s="12" t="s">
        <v>43</v>
      </c>
      <c r="C45" s="13" t="s">
        <v>50</v>
      </c>
      <c r="D45" s="14">
        <v>415.0</v>
      </c>
      <c r="E45" s="16"/>
      <c r="F45" s="14">
        <f t="shared" si="3"/>
        <v>415</v>
      </c>
      <c r="G45" s="19">
        <f t="shared" si="4"/>
        <v>7804</v>
      </c>
    </row>
    <row r="46">
      <c r="A46" s="12">
        <v>21.0</v>
      </c>
      <c r="B46" s="12" t="s">
        <v>51</v>
      </c>
      <c r="C46" s="13" t="s">
        <v>63</v>
      </c>
      <c r="D46" s="14">
        <v>436.0</v>
      </c>
      <c r="E46" s="16"/>
      <c r="F46" s="14">
        <f t="shared" si="3"/>
        <v>436</v>
      </c>
      <c r="G46" s="19">
        <f t="shared" si="4"/>
        <v>8240</v>
      </c>
    </row>
    <row r="47">
      <c r="A47" s="12">
        <v>22.0</v>
      </c>
      <c r="B47" s="12" t="s">
        <v>43</v>
      </c>
      <c r="C47" s="13" t="s">
        <v>50</v>
      </c>
      <c r="D47" s="14">
        <v>458.0</v>
      </c>
      <c r="E47" s="16"/>
      <c r="F47" s="14">
        <f t="shared" si="3"/>
        <v>458</v>
      </c>
      <c r="G47" s="19">
        <f t="shared" si="4"/>
        <v>8698</v>
      </c>
    </row>
    <row r="48">
      <c r="A48" s="12">
        <v>23.0</v>
      </c>
      <c r="B48" s="12" t="s">
        <v>55</v>
      </c>
      <c r="C48" s="13" t="s">
        <v>65</v>
      </c>
      <c r="D48" s="14">
        <v>2166.0</v>
      </c>
      <c r="E48" s="16"/>
      <c r="F48" s="14">
        <f t="shared" si="3"/>
        <v>2166</v>
      </c>
      <c r="G48" s="19">
        <f t="shared" si="4"/>
        <v>10864</v>
      </c>
    </row>
    <row r="49">
      <c r="A49" s="12">
        <v>24.0</v>
      </c>
      <c r="B49" s="12" t="s">
        <v>40</v>
      </c>
      <c r="C49" s="13" t="s">
        <v>49</v>
      </c>
      <c r="D49" s="14">
        <v>325.0</v>
      </c>
      <c r="E49" s="16"/>
      <c r="F49" s="14">
        <f t="shared" si="3"/>
        <v>325</v>
      </c>
      <c r="G49" s="19">
        <f t="shared" si="4"/>
        <v>11189</v>
      </c>
    </row>
    <row r="50">
      <c r="A50" s="24"/>
      <c r="B50" s="24"/>
      <c r="C50" s="26"/>
      <c r="D50" s="27">
        <v>25.0</v>
      </c>
      <c r="E50" s="28"/>
      <c r="F50" s="27">
        <f>SUM(F26:F49)</f>
        <v>11189</v>
      </c>
      <c r="G50" s="29">
        <f>G49</f>
        <v>11189</v>
      </c>
    </row>
    <row r="51">
      <c r="C51" s="30"/>
      <c r="G51" s="30"/>
    </row>
    <row r="52">
      <c r="A52" s="4" t="s">
        <v>297</v>
      </c>
      <c r="B52" s="5"/>
      <c r="C52" s="5"/>
      <c r="D52" s="5"/>
      <c r="E52" s="5"/>
      <c r="F52" s="5"/>
      <c r="G52" s="6"/>
    </row>
    <row r="53">
      <c r="A53" s="7"/>
      <c r="B53" s="8"/>
      <c r="C53" s="8"/>
      <c r="D53" s="8"/>
      <c r="E53" s="8"/>
      <c r="F53" s="8"/>
      <c r="G53" s="9"/>
    </row>
    <row r="54">
      <c r="A54" s="10"/>
      <c r="B54" s="10" t="s">
        <v>6</v>
      </c>
      <c r="C54" s="11" t="s">
        <v>7</v>
      </c>
      <c r="D54" s="10" t="s">
        <v>8</v>
      </c>
      <c r="E54" s="10" t="s">
        <v>9</v>
      </c>
      <c r="F54" s="10" t="s">
        <v>10</v>
      </c>
      <c r="G54" s="11" t="s">
        <v>11</v>
      </c>
    </row>
    <row r="55">
      <c r="A55" s="12">
        <v>1.0</v>
      </c>
      <c r="B55" s="12" t="s">
        <v>72</v>
      </c>
      <c r="C55" s="13" t="s">
        <v>91</v>
      </c>
      <c r="D55" s="14">
        <v>356.0</v>
      </c>
      <c r="E55" s="16"/>
      <c r="F55" s="14">
        <f t="shared" ref="F55:F83" si="5">SUM(D55:E55)</f>
        <v>356</v>
      </c>
      <c r="G55" s="19">
        <f>F55</f>
        <v>356</v>
      </c>
    </row>
    <row r="56">
      <c r="A56" s="12">
        <v>2.0</v>
      </c>
      <c r="B56" s="12" t="s">
        <v>72</v>
      </c>
      <c r="C56" s="13" t="s">
        <v>91</v>
      </c>
      <c r="D56" s="14">
        <v>374.0</v>
      </c>
      <c r="E56" s="16"/>
      <c r="F56" s="14">
        <f t="shared" si="5"/>
        <v>374</v>
      </c>
      <c r="G56" s="19">
        <f t="shared" ref="G56:G83" si="6">G55+F56</f>
        <v>730</v>
      </c>
    </row>
    <row r="57">
      <c r="A57" s="12">
        <v>3.0</v>
      </c>
      <c r="B57" s="12" t="s">
        <v>72</v>
      </c>
      <c r="C57" s="13" t="s">
        <v>91</v>
      </c>
      <c r="D57" s="14">
        <v>393.0</v>
      </c>
      <c r="E57" s="16"/>
      <c r="F57" s="14">
        <f t="shared" si="5"/>
        <v>393</v>
      </c>
      <c r="G57" s="19">
        <f t="shared" si="6"/>
        <v>1123</v>
      </c>
    </row>
    <row r="58">
      <c r="A58" s="12">
        <v>4.0</v>
      </c>
      <c r="B58" s="12" t="s">
        <v>72</v>
      </c>
      <c r="C58" s="13" t="s">
        <v>91</v>
      </c>
      <c r="D58" s="14">
        <v>413.0</v>
      </c>
      <c r="E58" s="16"/>
      <c r="F58" s="14">
        <f t="shared" si="5"/>
        <v>413</v>
      </c>
      <c r="G58" s="19">
        <f t="shared" si="6"/>
        <v>1536</v>
      </c>
    </row>
    <row r="59">
      <c r="A59" s="12">
        <v>5.0</v>
      </c>
      <c r="B59" s="12" t="s">
        <v>72</v>
      </c>
      <c r="C59" s="13" t="s">
        <v>91</v>
      </c>
      <c r="D59" s="14">
        <v>413.0</v>
      </c>
      <c r="E59" s="16"/>
      <c r="F59" s="14">
        <f t="shared" si="5"/>
        <v>413</v>
      </c>
      <c r="G59" s="19">
        <f t="shared" si="6"/>
        <v>1949</v>
      </c>
    </row>
    <row r="60">
      <c r="A60" s="12">
        <v>6.0</v>
      </c>
      <c r="B60" s="12" t="s">
        <v>72</v>
      </c>
      <c r="C60" s="13" t="s">
        <v>91</v>
      </c>
      <c r="D60" s="14">
        <v>433.0</v>
      </c>
      <c r="E60" s="16"/>
      <c r="F60" s="14">
        <f t="shared" si="5"/>
        <v>433</v>
      </c>
      <c r="G60" s="19">
        <f t="shared" si="6"/>
        <v>2382</v>
      </c>
    </row>
    <row r="61">
      <c r="A61" s="12">
        <v>7.0</v>
      </c>
      <c r="B61" s="12" t="s">
        <v>64</v>
      </c>
      <c r="C61" s="13" t="s">
        <v>82</v>
      </c>
      <c r="D61" s="14">
        <v>455.0</v>
      </c>
      <c r="E61" s="16"/>
      <c r="F61" s="14">
        <f t="shared" si="5"/>
        <v>455</v>
      </c>
      <c r="G61" s="19">
        <f t="shared" si="6"/>
        <v>2837</v>
      </c>
    </row>
    <row r="62">
      <c r="A62" s="12">
        <v>8.0</v>
      </c>
      <c r="B62" s="12" t="s">
        <v>79</v>
      </c>
      <c r="C62" s="13" t="s">
        <v>300</v>
      </c>
      <c r="D62" s="14">
        <v>356.0</v>
      </c>
      <c r="E62" s="16"/>
      <c r="F62" s="14">
        <f t="shared" si="5"/>
        <v>356</v>
      </c>
      <c r="G62" s="19">
        <f t="shared" si="6"/>
        <v>3193</v>
      </c>
    </row>
    <row r="63">
      <c r="A63" s="12">
        <v>9.0</v>
      </c>
      <c r="B63" s="12" t="s">
        <v>79</v>
      </c>
      <c r="C63" s="13" t="s">
        <v>300</v>
      </c>
      <c r="D63" s="14">
        <v>374.0</v>
      </c>
      <c r="E63" s="16"/>
      <c r="F63" s="14">
        <f t="shared" si="5"/>
        <v>374</v>
      </c>
      <c r="G63" s="19">
        <f t="shared" si="6"/>
        <v>3567</v>
      </c>
    </row>
    <row r="64">
      <c r="A64" s="12">
        <v>10.0</v>
      </c>
      <c r="B64" s="12" t="s">
        <v>79</v>
      </c>
      <c r="C64" s="13" t="s">
        <v>300</v>
      </c>
      <c r="D64" s="14">
        <v>393.0</v>
      </c>
      <c r="E64" s="16"/>
      <c r="F64" s="14">
        <f t="shared" si="5"/>
        <v>393</v>
      </c>
      <c r="G64" s="19">
        <f t="shared" si="6"/>
        <v>3960</v>
      </c>
    </row>
    <row r="65">
      <c r="A65" s="12">
        <v>11.0</v>
      </c>
      <c r="B65" s="12" t="s">
        <v>79</v>
      </c>
      <c r="C65" s="13" t="s">
        <v>300</v>
      </c>
      <c r="D65" s="14">
        <v>413.0</v>
      </c>
      <c r="E65" s="16"/>
      <c r="F65" s="14">
        <f t="shared" si="5"/>
        <v>413</v>
      </c>
      <c r="G65" s="19">
        <f t="shared" si="6"/>
        <v>4373</v>
      </c>
    </row>
    <row r="66">
      <c r="A66" s="12">
        <v>12.0</v>
      </c>
      <c r="B66" s="12" t="s">
        <v>79</v>
      </c>
      <c r="C66" s="13" t="s">
        <v>300</v>
      </c>
      <c r="D66" s="14">
        <v>413.0</v>
      </c>
      <c r="E66" s="16"/>
      <c r="F66" s="14">
        <f t="shared" si="5"/>
        <v>413</v>
      </c>
      <c r="G66" s="19">
        <f t="shared" si="6"/>
        <v>4786</v>
      </c>
    </row>
    <row r="67">
      <c r="A67" s="12">
        <v>13.0</v>
      </c>
      <c r="B67" s="12" t="s">
        <v>79</v>
      </c>
      <c r="C67" s="13" t="s">
        <v>300</v>
      </c>
      <c r="D67" s="14">
        <v>433.0</v>
      </c>
      <c r="E67" s="16"/>
      <c r="F67" s="14">
        <f t="shared" si="5"/>
        <v>433</v>
      </c>
      <c r="G67" s="19">
        <f t="shared" si="6"/>
        <v>5219</v>
      </c>
    </row>
    <row r="68">
      <c r="A68" s="12">
        <v>14.0</v>
      </c>
      <c r="B68" s="12" t="s">
        <v>83</v>
      </c>
      <c r="C68" s="13" t="s">
        <v>101</v>
      </c>
      <c r="D68" s="14">
        <v>737.0</v>
      </c>
      <c r="E68" s="14">
        <v>774.0</v>
      </c>
      <c r="F68" s="14">
        <f t="shared" si="5"/>
        <v>1511</v>
      </c>
      <c r="G68" s="19">
        <f t="shared" si="6"/>
        <v>6730</v>
      </c>
    </row>
    <row r="69">
      <c r="A69" s="12">
        <v>15.0</v>
      </c>
      <c r="B69" s="12" t="s">
        <v>67</v>
      </c>
      <c r="C69" s="13" t="s">
        <v>85</v>
      </c>
      <c r="D69" s="14">
        <v>356.0</v>
      </c>
      <c r="E69" s="16"/>
      <c r="F69" s="14">
        <f t="shared" si="5"/>
        <v>356</v>
      </c>
      <c r="G69" s="19">
        <f t="shared" si="6"/>
        <v>7086</v>
      </c>
    </row>
    <row r="70">
      <c r="A70" s="12">
        <v>16.0</v>
      </c>
      <c r="B70" s="12" t="s">
        <v>67</v>
      </c>
      <c r="C70" s="13" t="s">
        <v>85</v>
      </c>
      <c r="D70" s="14">
        <v>374.0</v>
      </c>
      <c r="E70" s="16"/>
      <c r="F70" s="14">
        <f t="shared" si="5"/>
        <v>374</v>
      </c>
      <c r="G70" s="19">
        <f t="shared" si="6"/>
        <v>7460</v>
      </c>
    </row>
    <row r="71">
      <c r="A71" s="12">
        <v>17.0</v>
      </c>
      <c r="B71" s="12" t="s">
        <v>67</v>
      </c>
      <c r="C71" s="13" t="s">
        <v>85</v>
      </c>
      <c r="D71" s="14">
        <v>393.0</v>
      </c>
      <c r="E71" s="16"/>
      <c r="F71" s="14">
        <f t="shared" si="5"/>
        <v>393</v>
      </c>
      <c r="G71" s="19">
        <f t="shared" si="6"/>
        <v>7853</v>
      </c>
    </row>
    <row r="72">
      <c r="A72" s="12">
        <v>18.0</v>
      </c>
      <c r="B72" s="12" t="s">
        <v>67</v>
      </c>
      <c r="C72" s="13" t="s">
        <v>85</v>
      </c>
      <c r="D72" s="14">
        <v>413.0</v>
      </c>
      <c r="E72" s="16"/>
      <c r="F72" s="14">
        <f t="shared" si="5"/>
        <v>413</v>
      </c>
      <c r="G72" s="19">
        <f t="shared" si="6"/>
        <v>8266</v>
      </c>
    </row>
    <row r="73">
      <c r="A73" s="12">
        <v>19.0</v>
      </c>
      <c r="B73" s="12" t="s">
        <v>306</v>
      </c>
      <c r="C73" s="13" t="s">
        <v>90</v>
      </c>
      <c r="D73" s="14">
        <v>737.0</v>
      </c>
      <c r="E73" s="14">
        <v>774.0</v>
      </c>
      <c r="F73" s="14">
        <f t="shared" si="5"/>
        <v>1511</v>
      </c>
      <c r="G73" s="19">
        <f t="shared" si="6"/>
        <v>9777</v>
      </c>
    </row>
    <row r="74">
      <c r="A74" s="12">
        <v>20.0</v>
      </c>
      <c r="B74" s="12" t="s">
        <v>67</v>
      </c>
      <c r="C74" s="13" t="s">
        <v>85</v>
      </c>
      <c r="D74" s="14">
        <v>413.0</v>
      </c>
      <c r="E74" s="16"/>
      <c r="F74" s="14">
        <f t="shared" si="5"/>
        <v>413</v>
      </c>
      <c r="G74" s="19">
        <f t="shared" si="6"/>
        <v>10190</v>
      </c>
    </row>
    <row r="75">
      <c r="A75" s="12">
        <v>21.0</v>
      </c>
      <c r="B75" s="12" t="s">
        <v>67</v>
      </c>
      <c r="C75" s="13" t="s">
        <v>85</v>
      </c>
      <c r="D75" s="14">
        <v>433.0</v>
      </c>
      <c r="E75" s="16"/>
      <c r="F75" s="14">
        <f t="shared" si="5"/>
        <v>433</v>
      </c>
      <c r="G75" s="19">
        <f t="shared" si="6"/>
        <v>10623</v>
      </c>
    </row>
    <row r="76">
      <c r="A76" s="12">
        <v>22.0</v>
      </c>
      <c r="B76" s="12" t="s">
        <v>60</v>
      </c>
      <c r="C76" s="13" t="s">
        <v>74</v>
      </c>
      <c r="D76" s="14">
        <v>356.0</v>
      </c>
      <c r="E76" s="16"/>
      <c r="F76" s="14">
        <f t="shared" si="5"/>
        <v>356</v>
      </c>
      <c r="G76" s="19">
        <f t="shared" si="6"/>
        <v>10979</v>
      </c>
    </row>
    <row r="77">
      <c r="A77" s="12">
        <v>23.0</v>
      </c>
      <c r="B77" s="12" t="s">
        <v>60</v>
      </c>
      <c r="C77" s="13" t="s">
        <v>74</v>
      </c>
      <c r="D77" s="14">
        <v>374.0</v>
      </c>
      <c r="E77" s="16"/>
      <c r="F77" s="14">
        <f t="shared" si="5"/>
        <v>374</v>
      </c>
      <c r="G77" s="19">
        <f t="shared" si="6"/>
        <v>11353</v>
      </c>
    </row>
    <row r="78">
      <c r="A78" s="12">
        <v>24.0</v>
      </c>
      <c r="B78" s="12" t="s">
        <v>60</v>
      </c>
      <c r="C78" s="13" t="s">
        <v>74</v>
      </c>
      <c r="D78" s="14">
        <v>393.0</v>
      </c>
      <c r="E78" s="16"/>
      <c r="F78" s="14">
        <f t="shared" si="5"/>
        <v>393</v>
      </c>
      <c r="G78" s="19">
        <f t="shared" si="6"/>
        <v>11746</v>
      </c>
    </row>
    <row r="79">
      <c r="A79" s="12">
        <v>25.0</v>
      </c>
      <c r="B79" s="12" t="s">
        <v>60</v>
      </c>
      <c r="C79" s="13" t="s">
        <v>74</v>
      </c>
      <c r="D79" s="14">
        <v>413.0</v>
      </c>
      <c r="E79" s="16"/>
      <c r="F79" s="14">
        <f t="shared" si="5"/>
        <v>413</v>
      </c>
      <c r="G79" s="19">
        <f t="shared" si="6"/>
        <v>12159</v>
      </c>
    </row>
    <row r="80">
      <c r="A80" s="12">
        <v>26.0</v>
      </c>
      <c r="B80" s="12" t="s">
        <v>60</v>
      </c>
      <c r="C80" s="13" t="s">
        <v>74</v>
      </c>
      <c r="D80" s="14">
        <v>413.0</v>
      </c>
      <c r="E80" s="16"/>
      <c r="F80" s="14">
        <f t="shared" si="5"/>
        <v>413</v>
      </c>
      <c r="G80" s="19">
        <f t="shared" si="6"/>
        <v>12572</v>
      </c>
    </row>
    <row r="81">
      <c r="A81" s="12">
        <v>27.0</v>
      </c>
      <c r="B81" s="12" t="s">
        <v>60</v>
      </c>
      <c r="C81" s="13" t="s">
        <v>74</v>
      </c>
      <c r="D81" s="14">
        <v>433.0</v>
      </c>
      <c r="E81" s="16"/>
      <c r="F81" s="14">
        <f t="shared" si="5"/>
        <v>433</v>
      </c>
      <c r="G81" s="19">
        <f t="shared" si="6"/>
        <v>13005</v>
      </c>
    </row>
    <row r="82">
      <c r="A82" s="12">
        <v>28.0</v>
      </c>
      <c r="B82" s="12" t="s">
        <v>75</v>
      </c>
      <c r="C82" s="13" t="s">
        <v>95</v>
      </c>
      <c r="D82" s="14">
        <v>455.0</v>
      </c>
      <c r="E82" s="16"/>
      <c r="F82" s="14">
        <f t="shared" si="5"/>
        <v>455</v>
      </c>
      <c r="G82" s="19">
        <f t="shared" si="6"/>
        <v>13460</v>
      </c>
    </row>
    <row r="83">
      <c r="A83" s="12">
        <v>29.0</v>
      </c>
      <c r="B83" s="12" t="s">
        <v>307</v>
      </c>
      <c r="C83" s="23" t="s">
        <v>308</v>
      </c>
      <c r="D83" s="14">
        <v>2049.0</v>
      </c>
      <c r="E83" s="16"/>
      <c r="F83" s="14">
        <f t="shared" si="5"/>
        <v>2049</v>
      </c>
      <c r="G83" s="19">
        <f t="shared" si="6"/>
        <v>15509</v>
      </c>
    </row>
    <row r="84">
      <c r="A84" s="24"/>
      <c r="B84" s="24"/>
      <c r="C84" s="26"/>
      <c r="D84" s="27">
        <v>31.0</v>
      </c>
      <c r="E84" s="28"/>
      <c r="F84" s="27">
        <f>SUM(F55:F83)</f>
        <v>15509</v>
      </c>
      <c r="G84" s="29">
        <f>G83</f>
        <v>15509</v>
      </c>
    </row>
    <row r="85">
      <c r="C85" s="30"/>
      <c r="G85" s="30"/>
    </row>
    <row r="86">
      <c r="A86" s="4" t="s">
        <v>309</v>
      </c>
      <c r="B86" s="5"/>
      <c r="C86" s="5"/>
      <c r="D86" s="5"/>
      <c r="E86" s="5"/>
      <c r="F86" s="5"/>
      <c r="G86" s="6"/>
    </row>
    <row r="87">
      <c r="A87" s="7"/>
      <c r="B87" s="8"/>
      <c r="C87" s="8"/>
      <c r="D87" s="8"/>
      <c r="E87" s="8"/>
      <c r="F87" s="8"/>
      <c r="G87" s="9"/>
    </row>
    <row r="88">
      <c r="A88" s="10"/>
      <c r="B88" s="10" t="s">
        <v>6</v>
      </c>
      <c r="C88" s="11" t="s">
        <v>7</v>
      </c>
      <c r="D88" s="10" t="s">
        <v>8</v>
      </c>
      <c r="E88" s="10" t="s">
        <v>9</v>
      </c>
      <c r="F88" s="10" t="s">
        <v>10</v>
      </c>
      <c r="G88" s="11" t="s">
        <v>11</v>
      </c>
    </row>
    <row r="89">
      <c r="A89" s="12">
        <v>1.0</v>
      </c>
      <c r="B89" s="12" t="s">
        <v>106</v>
      </c>
      <c r="C89" s="13" t="s">
        <v>122</v>
      </c>
      <c r="D89" s="14">
        <v>431.0</v>
      </c>
      <c r="E89" s="16"/>
      <c r="F89" s="14">
        <f t="shared" ref="F89:F122" si="7">SUM(D89:E89)</f>
        <v>431</v>
      </c>
      <c r="G89" s="19">
        <f>F89</f>
        <v>431</v>
      </c>
    </row>
    <row r="90">
      <c r="A90" s="12">
        <v>2.0</v>
      </c>
      <c r="B90" s="12" t="s">
        <v>106</v>
      </c>
      <c r="C90" s="13" t="s">
        <v>122</v>
      </c>
      <c r="D90" s="14">
        <v>453.0</v>
      </c>
      <c r="E90" s="16"/>
      <c r="F90" s="14">
        <f t="shared" si="7"/>
        <v>453</v>
      </c>
      <c r="G90" s="19">
        <f t="shared" ref="G90:G122" si="8">G89+F90</f>
        <v>884</v>
      </c>
    </row>
    <row r="91">
      <c r="A91" s="12">
        <v>3.0</v>
      </c>
      <c r="B91" s="12" t="s">
        <v>106</v>
      </c>
      <c r="C91" s="13" t="s">
        <v>122</v>
      </c>
      <c r="D91" s="14">
        <v>476.0</v>
      </c>
      <c r="E91" s="16"/>
      <c r="F91" s="14">
        <f t="shared" si="7"/>
        <v>476</v>
      </c>
      <c r="G91" s="19">
        <f t="shared" si="8"/>
        <v>1360</v>
      </c>
    </row>
    <row r="92">
      <c r="A92" s="12">
        <v>4.0</v>
      </c>
      <c r="B92" s="12" t="s">
        <v>106</v>
      </c>
      <c r="C92" s="13" t="s">
        <v>122</v>
      </c>
      <c r="D92" s="14">
        <v>500.0</v>
      </c>
      <c r="E92" s="16"/>
      <c r="F92" s="14">
        <f t="shared" si="7"/>
        <v>500</v>
      </c>
      <c r="G92" s="19">
        <f t="shared" si="8"/>
        <v>1860</v>
      </c>
    </row>
    <row r="93">
      <c r="A93" s="12">
        <v>5.0</v>
      </c>
      <c r="B93" s="12" t="s">
        <v>106</v>
      </c>
      <c r="C93" s="13" t="s">
        <v>122</v>
      </c>
      <c r="D93" s="14">
        <v>525.0</v>
      </c>
      <c r="E93" s="16"/>
      <c r="F93" s="14">
        <f t="shared" si="7"/>
        <v>525</v>
      </c>
      <c r="G93" s="19">
        <f t="shared" si="8"/>
        <v>2385</v>
      </c>
    </row>
    <row r="94">
      <c r="A94" s="12">
        <v>6.0</v>
      </c>
      <c r="B94" s="12" t="s">
        <v>104</v>
      </c>
      <c r="C94" s="13" t="s">
        <v>119</v>
      </c>
      <c r="D94" s="14">
        <v>551.0</v>
      </c>
      <c r="E94" s="16"/>
      <c r="F94" s="14">
        <f t="shared" si="7"/>
        <v>551</v>
      </c>
      <c r="G94" s="19">
        <f t="shared" si="8"/>
        <v>2936</v>
      </c>
    </row>
    <row r="95">
      <c r="A95" s="12">
        <v>7.0</v>
      </c>
      <c r="B95" s="12" t="s">
        <v>104</v>
      </c>
      <c r="C95" s="13" t="s">
        <v>119</v>
      </c>
      <c r="D95" s="14">
        <v>578.0</v>
      </c>
      <c r="E95" s="16"/>
      <c r="F95" s="14">
        <f t="shared" si="7"/>
        <v>578</v>
      </c>
      <c r="G95" s="19">
        <f t="shared" si="8"/>
        <v>3514</v>
      </c>
    </row>
    <row r="96">
      <c r="A96" s="12">
        <v>8.0</v>
      </c>
      <c r="B96" s="12" t="s">
        <v>104</v>
      </c>
      <c r="C96" s="13" t="s">
        <v>119</v>
      </c>
      <c r="D96" s="14">
        <v>607.0</v>
      </c>
      <c r="E96" s="16"/>
      <c r="F96" s="14">
        <f t="shared" si="7"/>
        <v>607</v>
      </c>
      <c r="G96" s="19">
        <f t="shared" si="8"/>
        <v>4121</v>
      </c>
    </row>
    <row r="97">
      <c r="A97" s="12">
        <v>9.0</v>
      </c>
      <c r="B97" s="12" t="s">
        <v>104</v>
      </c>
      <c r="C97" s="13" t="s">
        <v>119</v>
      </c>
      <c r="D97" s="14">
        <v>431.0</v>
      </c>
      <c r="E97" s="16"/>
      <c r="F97" s="14">
        <f t="shared" si="7"/>
        <v>431</v>
      </c>
      <c r="G97" s="19">
        <f t="shared" si="8"/>
        <v>4552</v>
      </c>
    </row>
    <row r="98">
      <c r="A98" s="12">
        <v>10.0</v>
      </c>
      <c r="B98" s="12" t="s">
        <v>104</v>
      </c>
      <c r="C98" s="13" t="s">
        <v>119</v>
      </c>
      <c r="D98" s="14">
        <v>453.0</v>
      </c>
      <c r="E98" s="16"/>
      <c r="F98" s="14">
        <f t="shared" si="7"/>
        <v>453</v>
      </c>
      <c r="G98" s="19">
        <f t="shared" si="8"/>
        <v>5005</v>
      </c>
    </row>
    <row r="99">
      <c r="A99" s="12">
        <v>11.0</v>
      </c>
      <c r="B99" s="12" t="s">
        <v>160</v>
      </c>
      <c r="C99" s="13" t="s">
        <v>161</v>
      </c>
      <c r="D99" s="14">
        <v>476.0</v>
      </c>
      <c r="E99" s="16"/>
      <c r="F99" s="14">
        <f t="shared" si="7"/>
        <v>476</v>
      </c>
      <c r="G99" s="19">
        <f t="shared" si="8"/>
        <v>5481</v>
      </c>
    </row>
    <row r="100">
      <c r="A100" s="12">
        <v>12.0</v>
      </c>
      <c r="B100" s="12" t="s">
        <v>93</v>
      </c>
      <c r="C100" s="13" t="s">
        <v>108</v>
      </c>
      <c r="D100" s="14">
        <v>431.0</v>
      </c>
      <c r="E100" s="16"/>
      <c r="F100" s="14">
        <f t="shared" si="7"/>
        <v>431</v>
      </c>
      <c r="G100" s="19">
        <f t="shared" si="8"/>
        <v>5912</v>
      </c>
    </row>
    <row r="101">
      <c r="A101" s="12">
        <v>13.0</v>
      </c>
      <c r="B101" s="12" t="s">
        <v>93</v>
      </c>
      <c r="C101" s="13" t="s">
        <v>108</v>
      </c>
      <c r="D101" s="14">
        <v>453.0</v>
      </c>
      <c r="E101" s="16"/>
      <c r="F101" s="14">
        <f t="shared" si="7"/>
        <v>453</v>
      </c>
      <c r="G101" s="19">
        <f t="shared" si="8"/>
        <v>6365</v>
      </c>
    </row>
    <row r="102">
      <c r="A102" s="12">
        <v>14.0</v>
      </c>
      <c r="B102" s="12" t="s">
        <v>93</v>
      </c>
      <c r="C102" s="13" t="s">
        <v>108</v>
      </c>
      <c r="D102" s="14">
        <v>476.0</v>
      </c>
      <c r="E102" s="16"/>
      <c r="F102" s="14">
        <f t="shared" si="7"/>
        <v>476</v>
      </c>
      <c r="G102" s="19">
        <f t="shared" si="8"/>
        <v>6841</v>
      </c>
    </row>
    <row r="103">
      <c r="A103" s="12">
        <v>15.0</v>
      </c>
      <c r="B103" s="12" t="s">
        <v>93</v>
      </c>
      <c r="C103" s="13" t="s">
        <v>108</v>
      </c>
      <c r="D103" s="14">
        <v>500.0</v>
      </c>
      <c r="E103" s="16"/>
      <c r="F103" s="14">
        <f t="shared" si="7"/>
        <v>500</v>
      </c>
      <c r="G103" s="19">
        <f t="shared" si="8"/>
        <v>7341</v>
      </c>
    </row>
    <row r="104">
      <c r="A104" s="12">
        <v>16.0</v>
      </c>
      <c r="B104" s="12" t="s">
        <v>93</v>
      </c>
      <c r="C104" s="13" t="s">
        <v>108</v>
      </c>
      <c r="D104" s="14">
        <v>525.0</v>
      </c>
      <c r="E104" s="16"/>
      <c r="F104" s="14">
        <f t="shared" si="7"/>
        <v>525</v>
      </c>
      <c r="G104" s="19">
        <f t="shared" si="8"/>
        <v>7866</v>
      </c>
    </row>
    <row r="105">
      <c r="A105" s="12">
        <v>17.0</v>
      </c>
      <c r="B105" s="12" t="s">
        <v>99</v>
      </c>
      <c r="C105" s="13" t="s">
        <v>114</v>
      </c>
      <c r="D105" s="14">
        <v>431.0</v>
      </c>
      <c r="E105" s="16"/>
      <c r="F105" s="14">
        <f t="shared" si="7"/>
        <v>431</v>
      </c>
      <c r="G105" s="19">
        <f t="shared" si="8"/>
        <v>8297</v>
      </c>
    </row>
    <row r="106">
      <c r="A106" s="12">
        <v>18.0</v>
      </c>
      <c r="B106" s="12" t="s">
        <v>99</v>
      </c>
      <c r="C106" s="13" t="s">
        <v>114</v>
      </c>
      <c r="D106" s="14">
        <v>453.0</v>
      </c>
      <c r="E106" s="16"/>
      <c r="F106" s="14">
        <f t="shared" si="7"/>
        <v>453</v>
      </c>
      <c r="G106" s="19">
        <f t="shared" si="8"/>
        <v>8750</v>
      </c>
    </row>
    <row r="107">
      <c r="A107" s="12">
        <v>19.0</v>
      </c>
      <c r="B107" s="12" t="s">
        <v>99</v>
      </c>
      <c r="C107" s="13" t="s">
        <v>114</v>
      </c>
      <c r="D107" s="14">
        <v>476.0</v>
      </c>
      <c r="E107" s="16"/>
      <c r="F107" s="14">
        <f t="shared" si="7"/>
        <v>476</v>
      </c>
      <c r="G107" s="19">
        <f t="shared" si="8"/>
        <v>9226</v>
      </c>
    </row>
    <row r="108">
      <c r="A108" s="12">
        <v>20.0</v>
      </c>
      <c r="B108" s="12" t="s">
        <v>99</v>
      </c>
      <c r="C108" s="13" t="s">
        <v>114</v>
      </c>
      <c r="D108" s="14">
        <v>500.0</v>
      </c>
      <c r="E108" s="16"/>
      <c r="F108" s="14">
        <f t="shared" si="7"/>
        <v>500</v>
      </c>
      <c r="G108" s="19">
        <f t="shared" si="8"/>
        <v>9726</v>
      </c>
    </row>
    <row r="109">
      <c r="A109" s="12">
        <v>21.0</v>
      </c>
      <c r="B109" s="12" t="s">
        <v>99</v>
      </c>
      <c r="C109" s="13" t="s">
        <v>114</v>
      </c>
      <c r="D109" s="14">
        <v>525.0</v>
      </c>
      <c r="E109" s="16"/>
      <c r="F109" s="14">
        <f t="shared" si="7"/>
        <v>525</v>
      </c>
      <c r="G109" s="19">
        <f t="shared" si="8"/>
        <v>10251</v>
      </c>
    </row>
    <row r="110">
      <c r="A110" s="12">
        <v>22.0</v>
      </c>
      <c r="B110" s="12" t="s">
        <v>22</v>
      </c>
      <c r="C110" s="13" t="s">
        <v>130</v>
      </c>
      <c r="D110" s="14">
        <v>937.0</v>
      </c>
      <c r="E110" s="14">
        <v>984.0</v>
      </c>
      <c r="F110" s="14">
        <f t="shared" si="7"/>
        <v>1921</v>
      </c>
      <c r="G110" s="19">
        <f t="shared" si="8"/>
        <v>12172</v>
      </c>
    </row>
    <row r="111">
      <c r="A111" s="12">
        <v>23.0</v>
      </c>
      <c r="B111" s="12" t="s">
        <v>51</v>
      </c>
      <c r="C111" s="13" t="s">
        <v>63</v>
      </c>
      <c r="D111" s="14">
        <v>431.0</v>
      </c>
      <c r="E111" s="16"/>
      <c r="F111" s="14">
        <f t="shared" si="7"/>
        <v>431</v>
      </c>
      <c r="G111" s="19">
        <f t="shared" si="8"/>
        <v>12603</v>
      </c>
    </row>
    <row r="112">
      <c r="A112" s="12">
        <v>24.0</v>
      </c>
      <c r="B112" s="12" t="s">
        <v>51</v>
      </c>
      <c r="C112" s="13" t="s">
        <v>63</v>
      </c>
      <c r="D112" s="14">
        <v>453.0</v>
      </c>
      <c r="E112" s="16"/>
      <c r="F112" s="14">
        <f t="shared" si="7"/>
        <v>453</v>
      </c>
      <c r="G112" s="19">
        <f t="shared" si="8"/>
        <v>13056</v>
      </c>
    </row>
    <row r="113">
      <c r="A113" s="12">
        <v>25.0</v>
      </c>
      <c r="B113" s="12" t="s">
        <v>47</v>
      </c>
      <c r="C113" s="13" t="s">
        <v>57</v>
      </c>
      <c r="D113" s="14">
        <v>431.0</v>
      </c>
      <c r="E113" s="16"/>
      <c r="F113" s="14">
        <f t="shared" si="7"/>
        <v>431</v>
      </c>
      <c r="G113" s="19">
        <f t="shared" si="8"/>
        <v>13487</v>
      </c>
    </row>
    <row r="114">
      <c r="A114" s="12">
        <v>26.0</v>
      </c>
      <c r="B114" s="12" t="s">
        <v>47</v>
      </c>
      <c r="C114" s="13" t="s">
        <v>57</v>
      </c>
      <c r="D114" s="14">
        <v>453.0</v>
      </c>
      <c r="E114" s="16"/>
      <c r="F114" s="14">
        <f t="shared" si="7"/>
        <v>453</v>
      </c>
      <c r="G114" s="19">
        <f t="shared" si="8"/>
        <v>13940</v>
      </c>
    </row>
    <row r="115">
      <c r="A115" s="12">
        <v>27.0</v>
      </c>
      <c r="B115" s="12" t="s">
        <v>47</v>
      </c>
      <c r="C115" s="13" t="s">
        <v>57</v>
      </c>
      <c r="D115" s="14">
        <v>476.0</v>
      </c>
      <c r="E115" s="16"/>
      <c r="F115" s="14">
        <f t="shared" si="7"/>
        <v>476</v>
      </c>
      <c r="G115" s="19">
        <f t="shared" si="8"/>
        <v>14416</v>
      </c>
    </row>
    <row r="116">
      <c r="A116" s="12">
        <v>28.0</v>
      </c>
      <c r="B116" s="12" t="s">
        <v>47</v>
      </c>
      <c r="C116" s="13" t="s">
        <v>57</v>
      </c>
      <c r="D116" s="14">
        <v>500.0</v>
      </c>
      <c r="E116" s="16"/>
      <c r="F116" s="14">
        <f t="shared" si="7"/>
        <v>500</v>
      </c>
      <c r="G116" s="19">
        <f t="shared" si="8"/>
        <v>14916</v>
      </c>
    </row>
    <row r="117">
      <c r="A117" s="12">
        <v>29.0</v>
      </c>
      <c r="B117" s="12" t="s">
        <v>47</v>
      </c>
      <c r="C117" s="13" t="s">
        <v>57</v>
      </c>
      <c r="D117" s="14">
        <v>525.0</v>
      </c>
      <c r="E117" s="16"/>
      <c r="F117" s="14">
        <f t="shared" si="7"/>
        <v>525</v>
      </c>
      <c r="G117" s="19">
        <f t="shared" si="8"/>
        <v>15441</v>
      </c>
    </row>
    <row r="118">
      <c r="A118" s="12">
        <v>30.0</v>
      </c>
      <c r="B118" s="12" t="s">
        <v>51</v>
      </c>
      <c r="C118" s="13" t="s">
        <v>63</v>
      </c>
      <c r="D118" s="14">
        <v>551.0</v>
      </c>
      <c r="E118" s="16"/>
      <c r="F118" s="14">
        <f t="shared" si="7"/>
        <v>551</v>
      </c>
      <c r="G118" s="19">
        <f t="shared" si="8"/>
        <v>15992</v>
      </c>
    </row>
    <row r="119">
      <c r="A119" s="12">
        <v>31.0</v>
      </c>
      <c r="B119" s="12" t="s">
        <v>51</v>
      </c>
      <c r="C119" s="13" t="s">
        <v>63</v>
      </c>
      <c r="D119" s="14">
        <v>578.0</v>
      </c>
      <c r="E119" s="16"/>
      <c r="F119" s="14">
        <f t="shared" si="7"/>
        <v>578</v>
      </c>
      <c r="G119" s="19">
        <f t="shared" si="8"/>
        <v>16570</v>
      </c>
    </row>
    <row r="120">
      <c r="A120" s="12">
        <v>32.0</v>
      </c>
      <c r="B120" s="12" t="s">
        <v>51</v>
      </c>
      <c r="C120" s="13" t="s">
        <v>63</v>
      </c>
      <c r="D120" s="14">
        <v>607.0</v>
      </c>
      <c r="E120" s="16"/>
      <c r="F120" s="14">
        <f t="shared" si="7"/>
        <v>607</v>
      </c>
      <c r="G120" s="19">
        <f t="shared" si="8"/>
        <v>17177</v>
      </c>
    </row>
    <row r="121">
      <c r="A121" s="12">
        <v>33.0</v>
      </c>
      <c r="B121" s="12" t="s">
        <v>157</v>
      </c>
      <c r="C121" s="13" t="s">
        <v>158</v>
      </c>
      <c r="D121" s="14">
        <v>476.0</v>
      </c>
      <c r="E121" s="16"/>
      <c r="F121" s="14">
        <f t="shared" si="7"/>
        <v>476</v>
      </c>
      <c r="G121" s="19">
        <f t="shared" si="8"/>
        <v>17653</v>
      </c>
    </row>
    <row r="122">
      <c r="A122" s="12">
        <v>34.0</v>
      </c>
      <c r="B122" s="12" t="s">
        <v>314</v>
      </c>
      <c r="C122" s="23" t="s">
        <v>315</v>
      </c>
      <c r="D122" s="14">
        <v>2250.0</v>
      </c>
      <c r="E122" s="16"/>
      <c r="F122" s="14">
        <f t="shared" si="7"/>
        <v>2250</v>
      </c>
      <c r="G122" s="19">
        <f t="shared" si="8"/>
        <v>19903</v>
      </c>
    </row>
    <row r="123">
      <c r="A123" s="24"/>
      <c r="B123" s="24"/>
      <c r="C123" s="26"/>
      <c r="D123" s="27">
        <v>35.0</v>
      </c>
      <c r="E123" s="28"/>
      <c r="F123" s="27">
        <f>SUM(F89:F122)</f>
        <v>19903</v>
      </c>
      <c r="G123" s="29">
        <f>G122</f>
        <v>19903</v>
      </c>
    </row>
  </sheetData>
  <mergeCells count="4">
    <mergeCell ref="A1:G2"/>
    <mergeCell ref="A23:G24"/>
    <mergeCell ref="A52:G53"/>
    <mergeCell ref="A86:G87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8.86"/>
    <col customWidth="1" min="3" max="3" width="59.71"/>
    <col customWidth="1" min="4" max="5" width="7.14"/>
    <col customWidth="1" min="6" max="6" width="7.0"/>
    <col customWidth="1" min="7" max="7" width="8.57"/>
  </cols>
  <sheetData>
    <row r="1">
      <c r="A1" s="4" t="s">
        <v>128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25</v>
      </c>
      <c r="C4" s="13" t="s">
        <v>32</v>
      </c>
      <c r="D4" s="14">
        <v>178.0</v>
      </c>
      <c r="E4" s="16"/>
      <c r="F4" s="14">
        <f t="shared" ref="F4:F20" si="1">SUM(D4:E4)</f>
        <v>178</v>
      </c>
      <c r="G4" s="19">
        <f>F4</f>
        <v>178</v>
      </c>
    </row>
    <row r="5">
      <c r="A5" s="12">
        <v>2.0</v>
      </c>
      <c r="B5" s="12" t="s">
        <v>25</v>
      </c>
      <c r="C5" s="13" t="s">
        <v>32</v>
      </c>
      <c r="D5" s="14">
        <v>187.0</v>
      </c>
      <c r="E5" s="16"/>
      <c r="F5" s="14">
        <f t="shared" si="1"/>
        <v>187</v>
      </c>
      <c r="G5" s="19">
        <f t="shared" ref="G5:G20" si="2">G4+F5</f>
        <v>365</v>
      </c>
    </row>
    <row r="6">
      <c r="A6" s="12">
        <v>3.0</v>
      </c>
      <c r="B6" s="12" t="s">
        <v>25</v>
      </c>
      <c r="C6" s="13" t="s">
        <v>32</v>
      </c>
      <c r="D6" s="14">
        <v>197.0</v>
      </c>
      <c r="E6" s="16"/>
      <c r="F6" s="14">
        <f t="shared" si="1"/>
        <v>197</v>
      </c>
      <c r="G6" s="19">
        <f t="shared" si="2"/>
        <v>562</v>
      </c>
    </row>
    <row r="7">
      <c r="A7" s="12">
        <v>4.0</v>
      </c>
      <c r="B7" s="12" t="s">
        <v>25</v>
      </c>
      <c r="C7" s="13" t="s">
        <v>32</v>
      </c>
      <c r="D7" s="14">
        <v>206.0</v>
      </c>
      <c r="E7" s="16"/>
      <c r="F7" s="14">
        <f t="shared" si="1"/>
        <v>206</v>
      </c>
      <c r="G7" s="19">
        <f t="shared" si="2"/>
        <v>768</v>
      </c>
    </row>
    <row r="8">
      <c r="A8" s="12">
        <v>5.0</v>
      </c>
      <c r="B8" s="12" t="s">
        <v>25</v>
      </c>
      <c r="C8" s="13" t="s">
        <v>32</v>
      </c>
      <c r="D8" s="14">
        <v>217.0</v>
      </c>
      <c r="E8" s="16"/>
      <c r="F8" s="14">
        <f t="shared" si="1"/>
        <v>217</v>
      </c>
      <c r="G8" s="19">
        <f t="shared" si="2"/>
        <v>985</v>
      </c>
    </row>
    <row r="9">
      <c r="A9" s="12">
        <v>6.0</v>
      </c>
      <c r="B9" s="12" t="s">
        <v>25</v>
      </c>
      <c r="C9" s="13" t="s">
        <v>32</v>
      </c>
      <c r="D9" s="14">
        <v>228.0</v>
      </c>
      <c r="E9" s="16"/>
      <c r="F9" s="14">
        <f t="shared" si="1"/>
        <v>228</v>
      </c>
      <c r="G9" s="19">
        <f t="shared" si="2"/>
        <v>1213</v>
      </c>
    </row>
    <row r="10">
      <c r="A10" s="12">
        <v>7.0</v>
      </c>
      <c r="B10" s="12" t="s">
        <v>28</v>
      </c>
      <c r="C10" s="13" t="s">
        <v>34</v>
      </c>
      <c r="D10" s="14">
        <v>407.0</v>
      </c>
      <c r="E10" s="14">
        <v>427.0</v>
      </c>
      <c r="F10" s="14">
        <f t="shared" si="1"/>
        <v>834</v>
      </c>
      <c r="G10" s="19">
        <f t="shared" si="2"/>
        <v>2047</v>
      </c>
    </row>
    <row r="11">
      <c r="A11" s="12">
        <v>8.0</v>
      </c>
      <c r="B11" s="12" t="s">
        <v>22</v>
      </c>
      <c r="C11" s="13" t="s">
        <v>27</v>
      </c>
      <c r="D11" s="14">
        <v>178.0</v>
      </c>
      <c r="E11" s="16"/>
      <c r="F11" s="14">
        <f t="shared" si="1"/>
        <v>178</v>
      </c>
      <c r="G11" s="19">
        <f t="shared" si="2"/>
        <v>2225</v>
      </c>
    </row>
    <row r="12">
      <c r="A12" s="12">
        <v>9.0</v>
      </c>
      <c r="B12" s="12" t="s">
        <v>22</v>
      </c>
      <c r="C12" s="13" t="s">
        <v>27</v>
      </c>
      <c r="D12" s="14">
        <v>187.0</v>
      </c>
      <c r="E12" s="16"/>
      <c r="F12" s="14">
        <f t="shared" si="1"/>
        <v>187</v>
      </c>
      <c r="G12" s="19">
        <f t="shared" si="2"/>
        <v>2412</v>
      </c>
    </row>
    <row r="13">
      <c r="A13" s="12">
        <v>10.0</v>
      </c>
      <c r="B13" s="12" t="s">
        <v>12</v>
      </c>
      <c r="C13" s="13" t="s">
        <v>16</v>
      </c>
      <c r="D13" s="14">
        <v>178.0</v>
      </c>
      <c r="E13" s="16"/>
      <c r="F13" s="14">
        <f t="shared" si="1"/>
        <v>178</v>
      </c>
      <c r="G13" s="19">
        <f t="shared" si="2"/>
        <v>2590</v>
      </c>
    </row>
    <row r="14">
      <c r="A14" s="12">
        <v>11.0</v>
      </c>
      <c r="B14" s="12" t="s">
        <v>12</v>
      </c>
      <c r="C14" s="13" t="s">
        <v>16</v>
      </c>
      <c r="D14" s="14">
        <v>187.0</v>
      </c>
      <c r="E14" s="16"/>
      <c r="F14" s="14">
        <f t="shared" si="1"/>
        <v>187</v>
      </c>
      <c r="G14" s="19">
        <f t="shared" si="2"/>
        <v>2777</v>
      </c>
    </row>
    <row r="15">
      <c r="A15" s="12">
        <v>12.0</v>
      </c>
      <c r="B15" s="12" t="s">
        <v>12</v>
      </c>
      <c r="C15" s="13" t="s">
        <v>16</v>
      </c>
      <c r="D15" s="14">
        <v>197.0</v>
      </c>
      <c r="E15" s="16"/>
      <c r="F15" s="14">
        <f t="shared" si="1"/>
        <v>197</v>
      </c>
      <c r="G15" s="19">
        <f t="shared" si="2"/>
        <v>2974</v>
      </c>
    </row>
    <row r="16">
      <c r="A16" s="12">
        <v>13.0</v>
      </c>
      <c r="B16" s="12" t="s">
        <v>12</v>
      </c>
      <c r="C16" s="13" t="s">
        <v>16</v>
      </c>
      <c r="D16" s="14">
        <v>206.0</v>
      </c>
      <c r="E16" s="16"/>
      <c r="F16" s="14">
        <f t="shared" si="1"/>
        <v>206</v>
      </c>
      <c r="G16" s="19">
        <f t="shared" si="2"/>
        <v>3180</v>
      </c>
    </row>
    <row r="17">
      <c r="A17" s="12">
        <v>14.0</v>
      </c>
      <c r="B17" s="12" t="s">
        <v>12</v>
      </c>
      <c r="C17" s="13" t="s">
        <v>16</v>
      </c>
      <c r="D17" s="14">
        <v>217.0</v>
      </c>
      <c r="E17" s="16"/>
      <c r="F17" s="14">
        <f t="shared" si="1"/>
        <v>217</v>
      </c>
      <c r="G17" s="19">
        <f t="shared" si="2"/>
        <v>3397</v>
      </c>
    </row>
    <row r="18">
      <c r="A18" s="12">
        <v>15.0</v>
      </c>
      <c r="B18" s="12" t="s">
        <v>12</v>
      </c>
      <c r="C18" s="13" t="s">
        <v>16</v>
      </c>
      <c r="D18" s="14">
        <v>228.0</v>
      </c>
      <c r="E18" s="16"/>
      <c r="F18" s="14">
        <f t="shared" si="1"/>
        <v>228</v>
      </c>
      <c r="G18" s="19">
        <f t="shared" si="2"/>
        <v>3625</v>
      </c>
    </row>
    <row r="19">
      <c r="A19" s="12">
        <v>16.0</v>
      </c>
      <c r="B19" s="12" t="s">
        <v>281</v>
      </c>
      <c r="C19" s="13" t="s">
        <v>293</v>
      </c>
      <c r="D19" s="14">
        <v>407.0</v>
      </c>
      <c r="E19" s="14">
        <v>427.0</v>
      </c>
      <c r="F19" s="14">
        <f t="shared" si="1"/>
        <v>834</v>
      </c>
      <c r="G19" s="19">
        <f t="shared" si="2"/>
        <v>4459</v>
      </c>
    </row>
    <row r="20">
      <c r="A20" s="12">
        <v>17.0</v>
      </c>
      <c r="B20" s="12" t="s">
        <v>294</v>
      </c>
      <c r="C20" s="23" t="s">
        <v>295</v>
      </c>
      <c r="D20" s="14">
        <v>1131.0</v>
      </c>
      <c r="E20" s="16"/>
      <c r="F20" s="14">
        <f t="shared" si="1"/>
        <v>1131</v>
      </c>
      <c r="G20" s="19">
        <f t="shared" si="2"/>
        <v>5590</v>
      </c>
    </row>
    <row r="21">
      <c r="A21" s="24"/>
      <c r="B21" s="24"/>
      <c r="C21" s="26"/>
      <c r="D21" s="27">
        <v>19.0</v>
      </c>
      <c r="E21" s="28"/>
      <c r="F21" s="27">
        <f>SUM(F4:F20)</f>
        <v>5590</v>
      </c>
      <c r="G21" s="29">
        <f>G20</f>
        <v>5590</v>
      </c>
    </row>
    <row r="22">
      <c r="C22" s="30"/>
      <c r="G22" s="30"/>
    </row>
    <row r="23">
      <c r="A23" s="4" t="s">
        <v>289</v>
      </c>
      <c r="B23" s="5"/>
      <c r="C23" s="5"/>
      <c r="D23" s="5"/>
      <c r="E23" s="5"/>
      <c r="F23" s="5"/>
      <c r="G23" s="6"/>
    </row>
    <row r="24">
      <c r="A24" s="7"/>
      <c r="B24" s="8"/>
      <c r="C24" s="8"/>
      <c r="D24" s="8"/>
      <c r="E24" s="8"/>
      <c r="F24" s="8"/>
      <c r="G24" s="9"/>
    </row>
    <row r="25">
      <c r="A25" s="10"/>
      <c r="B25" s="10" t="s">
        <v>6</v>
      </c>
      <c r="C25" s="11" t="s">
        <v>7</v>
      </c>
      <c r="D25" s="10" t="s">
        <v>8</v>
      </c>
      <c r="E25" s="10" t="s">
        <v>9</v>
      </c>
      <c r="F25" s="10" t="s">
        <v>10</v>
      </c>
      <c r="G25" s="11" t="s">
        <v>11</v>
      </c>
    </row>
    <row r="26">
      <c r="A26" s="12">
        <v>1.0</v>
      </c>
      <c r="B26" s="12" t="s">
        <v>43</v>
      </c>
      <c r="C26" s="13" t="s">
        <v>54</v>
      </c>
      <c r="D26" s="14">
        <v>268.0</v>
      </c>
      <c r="E26" s="16"/>
      <c r="F26" s="14">
        <f t="shared" ref="F26:F49" si="3">SUM(D26:E26)</f>
        <v>268</v>
      </c>
      <c r="G26" s="19">
        <f>F26</f>
        <v>268</v>
      </c>
    </row>
    <row r="27">
      <c r="A27" s="12">
        <v>2.0</v>
      </c>
      <c r="B27" s="12" t="s">
        <v>43</v>
      </c>
      <c r="C27" s="13" t="s">
        <v>54</v>
      </c>
      <c r="D27" s="14">
        <v>281.0</v>
      </c>
      <c r="E27" s="16"/>
      <c r="F27" s="14">
        <f t="shared" si="3"/>
        <v>281</v>
      </c>
      <c r="G27" s="19">
        <f t="shared" ref="G27:G49" si="4">G26+F27</f>
        <v>549</v>
      </c>
    </row>
    <row r="28">
      <c r="A28" s="12">
        <v>3.0</v>
      </c>
      <c r="B28" s="12" t="s">
        <v>43</v>
      </c>
      <c r="C28" s="13" t="s">
        <v>54</v>
      </c>
      <c r="D28" s="14">
        <v>295.0</v>
      </c>
      <c r="E28" s="16"/>
      <c r="F28" s="14">
        <f t="shared" si="3"/>
        <v>295</v>
      </c>
      <c r="G28" s="19">
        <f t="shared" si="4"/>
        <v>844</v>
      </c>
    </row>
    <row r="29">
      <c r="A29" s="12">
        <v>4.0</v>
      </c>
      <c r="B29" s="12" t="s">
        <v>40</v>
      </c>
      <c r="C29" s="13" t="s">
        <v>59</v>
      </c>
      <c r="D29" s="14">
        <v>268.0</v>
      </c>
      <c r="E29" s="16"/>
      <c r="F29" s="14">
        <f t="shared" si="3"/>
        <v>268</v>
      </c>
      <c r="G29" s="19">
        <f t="shared" si="4"/>
        <v>1112</v>
      </c>
    </row>
    <row r="30">
      <c r="A30" s="12">
        <v>5.0</v>
      </c>
      <c r="B30" s="12" t="s">
        <v>40</v>
      </c>
      <c r="C30" s="13" t="s">
        <v>59</v>
      </c>
      <c r="D30" s="14">
        <v>281.0</v>
      </c>
      <c r="E30" s="16"/>
      <c r="F30" s="14">
        <f t="shared" si="3"/>
        <v>281</v>
      </c>
      <c r="G30" s="19">
        <f t="shared" si="4"/>
        <v>1393</v>
      </c>
    </row>
    <row r="31">
      <c r="A31" s="12">
        <v>6.0</v>
      </c>
      <c r="B31" s="12" t="s">
        <v>40</v>
      </c>
      <c r="C31" s="13" t="s">
        <v>59</v>
      </c>
      <c r="D31" s="14">
        <v>295.0</v>
      </c>
      <c r="E31" s="16"/>
      <c r="F31" s="14">
        <f t="shared" si="3"/>
        <v>295</v>
      </c>
      <c r="G31" s="19">
        <f t="shared" si="4"/>
        <v>1688</v>
      </c>
    </row>
    <row r="32">
      <c r="A32" s="12">
        <v>7.0</v>
      </c>
      <c r="B32" s="12" t="s">
        <v>43</v>
      </c>
      <c r="C32" s="13" t="s">
        <v>54</v>
      </c>
      <c r="D32" s="14">
        <v>310.0</v>
      </c>
      <c r="E32" s="16"/>
      <c r="F32" s="14">
        <f t="shared" si="3"/>
        <v>310</v>
      </c>
      <c r="G32" s="19">
        <f t="shared" si="4"/>
        <v>1998</v>
      </c>
    </row>
    <row r="33">
      <c r="A33" s="12">
        <v>8.0</v>
      </c>
      <c r="B33" s="12" t="s">
        <v>45</v>
      </c>
      <c r="C33" s="13" t="s">
        <v>62</v>
      </c>
      <c r="D33" s="14">
        <v>553.0</v>
      </c>
      <c r="E33" s="14">
        <v>581.0</v>
      </c>
      <c r="F33" s="14">
        <f t="shared" si="3"/>
        <v>1134</v>
      </c>
      <c r="G33" s="19">
        <f t="shared" si="4"/>
        <v>3132</v>
      </c>
    </row>
    <row r="34">
      <c r="A34" s="12">
        <v>9.0</v>
      </c>
      <c r="B34" s="12" t="s">
        <v>43</v>
      </c>
      <c r="C34" s="13" t="s">
        <v>54</v>
      </c>
      <c r="D34" s="14">
        <v>342.0</v>
      </c>
      <c r="E34" s="16"/>
      <c r="F34" s="14">
        <f t="shared" si="3"/>
        <v>342</v>
      </c>
      <c r="G34" s="19">
        <f t="shared" si="4"/>
        <v>3474</v>
      </c>
    </row>
    <row r="35">
      <c r="A35" s="12">
        <v>10.0</v>
      </c>
      <c r="B35" s="12" t="s">
        <v>51</v>
      </c>
      <c r="C35" s="13" t="s">
        <v>69</v>
      </c>
      <c r="D35" s="14">
        <v>359.0</v>
      </c>
      <c r="E35" s="16"/>
      <c r="F35" s="14">
        <f t="shared" si="3"/>
        <v>359</v>
      </c>
      <c r="G35" s="19">
        <f t="shared" si="4"/>
        <v>3833</v>
      </c>
    </row>
    <row r="36">
      <c r="A36" s="12">
        <v>11.0</v>
      </c>
      <c r="B36" s="12" t="s">
        <v>43</v>
      </c>
      <c r="C36" s="13" t="s">
        <v>54</v>
      </c>
      <c r="D36" s="14">
        <v>377.0</v>
      </c>
      <c r="E36" s="16"/>
      <c r="F36" s="14">
        <f t="shared" si="3"/>
        <v>377</v>
      </c>
      <c r="G36" s="19">
        <f t="shared" si="4"/>
        <v>4210</v>
      </c>
    </row>
    <row r="37">
      <c r="A37" s="12">
        <v>12.0</v>
      </c>
      <c r="B37" s="12" t="s">
        <v>75</v>
      </c>
      <c r="C37" s="13" t="s">
        <v>111</v>
      </c>
      <c r="D37" s="14">
        <v>396.0</v>
      </c>
      <c r="E37" s="16"/>
      <c r="F37" s="14">
        <f t="shared" si="3"/>
        <v>396</v>
      </c>
      <c r="G37" s="19">
        <f t="shared" si="4"/>
        <v>4606</v>
      </c>
    </row>
    <row r="38">
      <c r="A38" s="12">
        <v>13.0</v>
      </c>
      <c r="B38" s="12" t="s">
        <v>43</v>
      </c>
      <c r="C38" s="13" t="s">
        <v>54</v>
      </c>
      <c r="D38" s="14">
        <v>415.0</v>
      </c>
      <c r="E38" s="16"/>
      <c r="F38" s="14">
        <f t="shared" si="3"/>
        <v>415</v>
      </c>
      <c r="G38" s="19">
        <f t="shared" si="4"/>
        <v>5021</v>
      </c>
    </row>
    <row r="39">
      <c r="A39" s="12">
        <v>14.0</v>
      </c>
      <c r="B39" s="12" t="s">
        <v>51</v>
      </c>
      <c r="C39" s="13" t="s">
        <v>69</v>
      </c>
      <c r="D39" s="14">
        <v>436.0</v>
      </c>
      <c r="E39" s="16"/>
      <c r="F39" s="14">
        <f t="shared" si="3"/>
        <v>436</v>
      </c>
      <c r="G39" s="19">
        <f t="shared" si="4"/>
        <v>5457</v>
      </c>
    </row>
    <row r="40">
      <c r="A40" s="12">
        <v>15.0</v>
      </c>
      <c r="B40" s="12" t="s">
        <v>43</v>
      </c>
      <c r="C40" s="13" t="s">
        <v>54</v>
      </c>
      <c r="D40" s="14">
        <v>458.0</v>
      </c>
      <c r="E40" s="16"/>
      <c r="F40" s="14">
        <f t="shared" si="3"/>
        <v>458</v>
      </c>
      <c r="G40" s="19">
        <f t="shared" si="4"/>
        <v>5915</v>
      </c>
    </row>
    <row r="41">
      <c r="A41" s="12">
        <v>16.0</v>
      </c>
      <c r="B41" s="12" t="s">
        <v>40</v>
      </c>
      <c r="C41" s="13" t="s">
        <v>59</v>
      </c>
      <c r="D41" s="14">
        <v>342.0</v>
      </c>
      <c r="E41" s="16"/>
      <c r="F41" s="14">
        <f t="shared" si="3"/>
        <v>342</v>
      </c>
      <c r="G41" s="19">
        <f t="shared" si="4"/>
        <v>6257</v>
      </c>
    </row>
    <row r="42">
      <c r="A42" s="12">
        <v>17.0</v>
      </c>
      <c r="B42" s="12" t="s">
        <v>47</v>
      </c>
      <c r="C42" s="13" t="s">
        <v>81</v>
      </c>
      <c r="D42" s="14">
        <v>359.0</v>
      </c>
      <c r="E42" s="16"/>
      <c r="F42" s="14">
        <f t="shared" si="3"/>
        <v>359</v>
      </c>
      <c r="G42" s="19">
        <f t="shared" si="4"/>
        <v>6616</v>
      </c>
    </row>
    <row r="43">
      <c r="A43" s="12">
        <v>18.0</v>
      </c>
      <c r="B43" s="12" t="s">
        <v>40</v>
      </c>
      <c r="C43" s="13" t="s">
        <v>59</v>
      </c>
      <c r="D43" s="14">
        <v>377.0</v>
      </c>
      <c r="E43" s="16"/>
      <c r="F43" s="14">
        <f t="shared" si="3"/>
        <v>377</v>
      </c>
      <c r="G43" s="19">
        <f t="shared" si="4"/>
        <v>6993</v>
      </c>
    </row>
    <row r="44">
      <c r="A44" s="12">
        <v>19.0</v>
      </c>
      <c r="B44" s="12" t="s">
        <v>64</v>
      </c>
      <c r="C44" s="13" t="s">
        <v>121</v>
      </c>
      <c r="D44" s="14">
        <v>396.0</v>
      </c>
      <c r="E44" s="16"/>
      <c r="F44" s="14">
        <f t="shared" si="3"/>
        <v>396</v>
      </c>
      <c r="G44" s="19">
        <f t="shared" si="4"/>
        <v>7389</v>
      </c>
    </row>
    <row r="45">
      <c r="A45" s="12">
        <v>20.0</v>
      </c>
      <c r="B45" s="12" t="s">
        <v>40</v>
      </c>
      <c r="C45" s="13" t="s">
        <v>59</v>
      </c>
      <c r="D45" s="14">
        <v>415.0</v>
      </c>
      <c r="E45" s="16"/>
      <c r="F45" s="14">
        <f t="shared" si="3"/>
        <v>415</v>
      </c>
      <c r="G45" s="19">
        <f t="shared" si="4"/>
        <v>7804</v>
      </c>
    </row>
    <row r="46">
      <c r="A46" s="12">
        <v>21.0</v>
      </c>
      <c r="B46" s="12" t="s">
        <v>47</v>
      </c>
      <c r="C46" s="13" t="s">
        <v>81</v>
      </c>
      <c r="D46" s="14">
        <v>436.0</v>
      </c>
      <c r="E46" s="16"/>
      <c r="F46" s="14">
        <f t="shared" si="3"/>
        <v>436</v>
      </c>
      <c r="G46" s="19">
        <f t="shared" si="4"/>
        <v>8240</v>
      </c>
    </row>
    <row r="47">
      <c r="A47" s="12">
        <v>22.0</v>
      </c>
      <c r="B47" s="12" t="s">
        <v>40</v>
      </c>
      <c r="C47" s="13" t="s">
        <v>59</v>
      </c>
      <c r="D47" s="14">
        <v>458.0</v>
      </c>
      <c r="E47" s="16"/>
      <c r="F47" s="14">
        <f t="shared" si="3"/>
        <v>458</v>
      </c>
      <c r="G47" s="19">
        <f t="shared" si="4"/>
        <v>8698</v>
      </c>
    </row>
    <row r="48">
      <c r="A48" s="12">
        <v>23.0</v>
      </c>
      <c r="B48" s="12" t="s">
        <v>88</v>
      </c>
      <c r="C48" s="13" t="s">
        <v>89</v>
      </c>
      <c r="D48" s="14">
        <v>2166.0</v>
      </c>
      <c r="E48" s="16"/>
      <c r="F48" s="14">
        <f t="shared" si="3"/>
        <v>2166</v>
      </c>
      <c r="G48" s="19">
        <f t="shared" si="4"/>
        <v>10864</v>
      </c>
    </row>
    <row r="49">
      <c r="A49" s="12">
        <v>24.0</v>
      </c>
      <c r="B49" s="12" t="s">
        <v>40</v>
      </c>
      <c r="C49" s="13" t="s">
        <v>59</v>
      </c>
      <c r="D49" s="14">
        <v>325.0</v>
      </c>
      <c r="E49" s="16"/>
      <c r="F49" s="14">
        <f t="shared" si="3"/>
        <v>325</v>
      </c>
      <c r="G49" s="19">
        <f t="shared" si="4"/>
        <v>11189</v>
      </c>
    </row>
    <row r="50">
      <c r="A50" s="24"/>
      <c r="B50" s="24"/>
      <c r="C50" s="26"/>
      <c r="D50" s="27">
        <v>25.0</v>
      </c>
      <c r="E50" s="28"/>
      <c r="F50" s="27">
        <f>SUM(F26:F49)</f>
        <v>11189</v>
      </c>
      <c r="G50" s="29">
        <f>G49</f>
        <v>11189</v>
      </c>
    </row>
    <row r="51">
      <c r="C51" s="30"/>
      <c r="G51" s="30"/>
    </row>
    <row r="52">
      <c r="A52" s="4" t="s">
        <v>297</v>
      </c>
      <c r="B52" s="5"/>
      <c r="C52" s="5"/>
      <c r="D52" s="5"/>
      <c r="E52" s="5"/>
      <c r="F52" s="5"/>
      <c r="G52" s="6"/>
    </row>
    <row r="53">
      <c r="A53" s="7"/>
      <c r="B53" s="8"/>
      <c r="C53" s="8"/>
      <c r="D53" s="8"/>
      <c r="E53" s="8"/>
      <c r="F53" s="8"/>
      <c r="G53" s="9"/>
    </row>
    <row r="54">
      <c r="A54" s="10"/>
      <c r="B54" s="10" t="s">
        <v>6</v>
      </c>
      <c r="C54" s="11" t="s">
        <v>7</v>
      </c>
      <c r="D54" s="10" t="s">
        <v>8</v>
      </c>
      <c r="E54" s="10" t="s">
        <v>9</v>
      </c>
      <c r="F54" s="10" t="s">
        <v>10</v>
      </c>
      <c r="G54" s="11" t="s">
        <v>11</v>
      </c>
    </row>
    <row r="55">
      <c r="A55" s="12">
        <v>1.0</v>
      </c>
      <c r="B55" s="12" t="s">
        <v>60</v>
      </c>
      <c r="C55" s="13" t="s">
        <v>117</v>
      </c>
      <c r="D55" s="14">
        <v>356.0</v>
      </c>
      <c r="E55" s="16"/>
      <c r="F55" s="14">
        <f t="shared" ref="F55:F83" si="5">SUM(D55:E55)</f>
        <v>356</v>
      </c>
      <c r="G55" s="19">
        <f>F55</f>
        <v>356</v>
      </c>
    </row>
    <row r="56">
      <c r="A56" s="12">
        <v>2.0</v>
      </c>
      <c r="B56" s="12" t="s">
        <v>60</v>
      </c>
      <c r="C56" s="13" t="s">
        <v>117</v>
      </c>
      <c r="D56" s="14">
        <v>374.0</v>
      </c>
      <c r="E56" s="16"/>
      <c r="F56" s="14">
        <f t="shared" si="5"/>
        <v>374</v>
      </c>
      <c r="G56" s="19">
        <f t="shared" ref="G56:G83" si="6">G55+F56</f>
        <v>730</v>
      </c>
    </row>
    <row r="57">
      <c r="A57" s="12">
        <v>3.0</v>
      </c>
      <c r="B57" s="12" t="s">
        <v>60</v>
      </c>
      <c r="C57" s="13" t="s">
        <v>117</v>
      </c>
      <c r="D57" s="14">
        <v>393.0</v>
      </c>
      <c r="E57" s="16"/>
      <c r="F57" s="14">
        <f t="shared" si="5"/>
        <v>393</v>
      </c>
      <c r="G57" s="19">
        <f t="shared" si="6"/>
        <v>1123</v>
      </c>
    </row>
    <row r="58">
      <c r="A58" s="12">
        <v>4.0</v>
      </c>
      <c r="B58" s="12" t="s">
        <v>60</v>
      </c>
      <c r="C58" s="13" t="s">
        <v>117</v>
      </c>
      <c r="D58" s="14">
        <v>413.0</v>
      </c>
      <c r="E58" s="16"/>
      <c r="F58" s="14">
        <f t="shared" si="5"/>
        <v>413</v>
      </c>
      <c r="G58" s="19">
        <f t="shared" si="6"/>
        <v>1536</v>
      </c>
    </row>
    <row r="59">
      <c r="A59" s="12">
        <v>5.0</v>
      </c>
      <c r="B59" s="12" t="s">
        <v>60</v>
      </c>
      <c r="C59" s="13" t="s">
        <v>117</v>
      </c>
      <c r="D59" s="14">
        <v>413.0</v>
      </c>
      <c r="E59" s="16"/>
      <c r="F59" s="14">
        <f t="shared" si="5"/>
        <v>413</v>
      </c>
      <c r="G59" s="19">
        <f t="shared" si="6"/>
        <v>1949</v>
      </c>
    </row>
    <row r="60">
      <c r="A60" s="12">
        <v>6.0</v>
      </c>
      <c r="B60" s="12" t="s">
        <v>60</v>
      </c>
      <c r="C60" s="13" t="s">
        <v>117</v>
      </c>
      <c r="D60" s="14">
        <v>433.0</v>
      </c>
      <c r="E60" s="16"/>
      <c r="F60" s="14">
        <f t="shared" si="5"/>
        <v>433</v>
      </c>
      <c r="G60" s="19">
        <f t="shared" si="6"/>
        <v>2382</v>
      </c>
    </row>
    <row r="61">
      <c r="A61" s="12">
        <v>7.0</v>
      </c>
      <c r="B61" s="12" t="s">
        <v>75</v>
      </c>
      <c r="C61" s="13" t="s">
        <v>111</v>
      </c>
      <c r="D61" s="14">
        <v>455.0</v>
      </c>
      <c r="E61" s="16"/>
      <c r="F61" s="14">
        <f t="shared" si="5"/>
        <v>455</v>
      </c>
      <c r="G61" s="19">
        <f t="shared" si="6"/>
        <v>2837</v>
      </c>
    </row>
    <row r="62">
      <c r="A62" s="12">
        <v>8.0</v>
      </c>
      <c r="B62" s="12" t="s">
        <v>67</v>
      </c>
      <c r="C62" s="13" t="s">
        <v>125</v>
      </c>
      <c r="D62" s="14">
        <v>356.0</v>
      </c>
      <c r="E62" s="16"/>
      <c r="F62" s="14">
        <f t="shared" si="5"/>
        <v>356</v>
      </c>
      <c r="G62" s="19">
        <f t="shared" si="6"/>
        <v>3193</v>
      </c>
    </row>
    <row r="63">
      <c r="A63" s="12">
        <v>9.0</v>
      </c>
      <c r="B63" s="12" t="s">
        <v>67</v>
      </c>
      <c r="C63" s="13" t="s">
        <v>125</v>
      </c>
      <c r="D63" s="14">
        <v>374.0</v>
      </c>
      <c r="E63" s="16"/>
      <c r="F63" s="14">
        <f t="shared" si="5"/>
        <v>374</v>
      </c>
      <c r="G63" s="19">
        <f t="shared" si="6"/>
        <v>3567</v>
      </c>
    </row>
    <row r="64">
      <c r="A64" s="12">
        <v>10.0</v>
      </c>
      <c r="B64" s="12" t="s">
        <v>67</v>
      </c>
      <c r="C64" s="13" t="s">
        <v>125</v>
      </c>
      <c r="D64" s="14">
        <v>393.0</v>
      </c>
      <c r="E64" s="16"/>
      <c r="F64" s="14">
        <f t="shared" si="5"/>
        <v>393</v>
      </c>
      <c r="G64" s="19">
        <f t="shared" si="6"/>
        <v>3960</v>
      </c>
    </row>
    <row r="65">
      <c r="A65" s="12">
        <v>11.0</v>
      </c>
      <c r="B65" s="12" t="s">
        <v>67</v>
      </c>
      <c r="C65" s="13" t="s">
        <v>125</v>
      </c>
      <c r="D65" s="14">
        <v>413.0</v>
      </c>
      <c r="E65" s="16"/>
      <c r="F65" s="14">
        <f t="shared" si="5"/>
        <v>413</v>
      </c>
      <c r="G65" s="19">
        <f t="shared" si="6"/>
        <v>4373</v>
      </c>
    </row>
    <row r="66">
      <c r="A66" s="12">
        <v>12.0</v>
      </c>
      <c r="B66" s="12" t="s">
        <v>67</v>
      </c>
      <c r="C66" s="13" t="s">
        <v>125</v>
      </c>
      <c r="D66" s="14">
        <v>413.0</v>
      </c>
      <c r="E66" s="16"/>
      <c r="F66" s="14">
        <f t="shared" si="5"/>
        <v>413</v>
      </c>
      <c r="G66" s="19">
        <f t="shared" si="6"/>
        <v>4786</v>
      </c>
    </row>
    <row r="67">
      <c r="A67" s="12">
        <v>13.0</v>
      </c>
      <c r="B67" s="12" t="s">
        <v>67</v>
      </c>
      <c r="C67" s="13" t="s">
        <v>125</v>
      </c>
      <c r="D67" s="14">
        <v>433.0</v>
      </c>
      <c r="E67" s="16"/>
      <c r="F67" s="14">
        <f t="shared" si="5"/>
        <v>433</v>
      </c>
      <c r="G67" s="19">
        <f t="shared" si="6"/>
        <v>5219</v>
      </c>
    </row>
    <row r="68">
      <c r="A68" s="12">
        <v>14.0</v>
      </c>
      <c r="B68" s="12" t="s">
        <v>70</v>
      </c>
      <c r="C68" s="13" t="s">
        <v>129</v>
      </c>
      <c r="D68" s="14">
        <v>737.0</v>
      </c>
      <c r="E68" s="14">
        <v>774.0</v>
      </c>
      <c r="F68" s="14">
        <f t="shared" si="5"/>
        <v>1511</v>
      </c>
      <c r="G68" s="19">
        <f t="shared" si="6"/>
        <v>6730</v>
      </c>
    </row>
    <row r="69">
      <c r="A69" s="12">
        <v>15.0</v>
      </c>
      <c r="B69" s="12" t="s">
        <v>79</v>
      </c>
      <c r="C69" s="13" t="s">
        <v>310</v>
      </c>
      <c r="D69" s="14">
        <v>356.0</v>
      </c>
      <c r="E69" s="16"/>
      <c r="F69" s="14">
        <f t="shared" si="5"/>
        <v>356</v>
      </c>
      <c r="G69" s="19">
        <f t="shared" si="6"/>
        <v>7086</v>
      </c>
    </row>
    <row r="70">
      <c r="A70" s="12">
        <v>16.0</v>
      </c>
      <c r="B70" s="12" t="s">
        <v>79</v>
      </c>
      <c r="C70" s="13" t="s">
        <v>310</v>
      </c>
      <c r="D70" s="14">
        <v>374.0</v>
      </c>
      <c r="E70" s="16"/>
      <c r="F70" s="14">
        <f t="shared" si="5"/>
        <v>374</v>
      </c>
      <c r="G70" s="19">
        <f t="shared" si="6"/>
        <v>7460</v>
      </c>
    </row>
    <row r="71">
      <c r="A71" s="12">
        <v>17.0</v>
      </c>
      <c r="B71" s="12" t="s">
        <v>79</v>
      </c>
      <c r="C71" s="13" t="s">
        <v>310</v>
      </c>
      <c r="D71" s="14">
        <v>393.0</v>
      </c>
      <c r="E71" s="16"/>
      <c r="F71" s="14">
        <f t="shared" si="5"/>
        <v>393</v>
      </c>
      <c r="G71" s="19">
        <f t="shared" si="6"/>
        <v>7853</v>
      </c>
    </row>
    <row r="72">
      <c r="A72" s="12">
        <v>18.0</v>
      </c>
      <c r="B72" s="12" t="s">
        <v>79</v>
      </c>
      <c r="C72" s="13" t="s">
        <v>310</v>
      </c>
      <c r="D72" s="14">
        <v>413.0</v>
      </c>
      <c r="E72" s="16"/>
      <c r="F72" s="14">
        <f t="shared" si="5"/>
        <v>413</v>
      </c>
      <c r="G72" s="19">
        <f t="shared" si="6"/>
        <v>8266</v>
      </c>
    </row>
    <row r="73">
      <c r="A73" s="12">
        <v>19.0</v>
      </c>
      <c r="B73" s="12" t="s">
        <v>83</v>
      </c>
      <c r="C73" s="13" t="s">
        <v>116</v>
      </c>
      <c r="D73" s="14">
        <v>737.0</v>
      </c>
      <c r="E73" s="14">
        <v>774.0</v>
      </c>
      <c r="F73" s="14">
        <f t="shared" si="5"/>
        <v>1511</v>
      </c>
      <c r="G73" s="19">
        <f t="shared" si="6"/>
        <v>9777</v>
      </c>
    </row>
    <row r="74">
      <c r="A74" s="12">
        <v>20.0</v>
      </c>
      <c r="B74" s="12" t="s">
        <v>311</v>
      </c>
      <c r="C74" s="23" t="s">
        <v>312</v>
      </c>
      <c r="D74" s="14">
        <v>2049.0</v>
      </c>
      <c r="E74" s="16"/>
      <c r="F74" s="14">
        <f t="shared" si="5"/>
        <v>2049</v>
      </c>
      <c r="G74" s="19">
        <f t="shared" si="6"/>
        <v>11826</v>
      </c>
    </row>
    <row r="75">
      <c r="A75" s="12">
        <v>21.0</v>
      </c>
      <c r="B75" s="12" t="s">
        <v>79</v>
      </c>
      <c r="C75" s="13" t="s">
        <v>310</v>
      </c>
      <c r="D75" s="14">
        <v>413.0</v>
      </c>
      <c r="E75" s="16"/>
      <c r="F75" s="14">
        <f t="shared" si="5"/>
        <v>413</v>
      </c>
      <c r="G75" s="19">
        <f t="shared" si="6"/>
        <v>12239</v>
      </c>
    </row>
    <row r="76">
      <c r="A76" s="12">
        <v>22.0</v>
      </c>
      <c r="B76" s="12" t="s">
        <v>79</v>
      </c>
      <c r="C76" s="13" t="s">
        <v>310</v>
      </c>
      <c r="D76" s="14">
        <v>433.0</v>
      </c>
      <c r="E76" s="16"/>
      <c r="F76" s="14">
        <f t="shared" si="5"/>
        <v>433</v>
      </c>
      <c r="G76" s="19">
        <f t="shared" si="6"/>
        <v>12672</v>
      </c>
    </row>
    <row r="77">
      <c r="A77" s="12">
        <v>23.0</v>
      </c>
      <c r="B77" s="12" t="s">
        <v>72</v>
      </c>
      <c r="C77" s="13" t="s">
        <v>102</v>
      </c>
      <c r="D77" s="14">
        <v>356.0</v>
      </c>
      <c r="E77" s="16"/>
      <c r="F77" s="14">
        <f t="shared" si="5"/>
        <v>356</v>
      </c>
      <c r="G77" s="19">
        <f t="shared" si="6"/>
        <v>13028</v>
      </c>
    </row>
    <row r="78">
      <c r="A78" s="12">
        <v>24.0</v>
      </c>
      <c r="B78" s="12" t="s">
        <v>72</v>
      </c>
      <c r="C78" s="13" t="s">
        <v>102</v>
      </c>
      <c r="D78" s="14">
        <v>374.0</v>
      </c>
      <c r="E78" s="16"/>
      <c r="F78" s="14">
        <f t="shared" si="5"/>
        <v>374</v>
      </c>
      <c r="G78" s="19">
        <f t="shared" si="6"/>
        <v>13402</v>
      </c>
    </row>
    <row r="79">
      <c r="A79" s="12">
        <v>25.0</v>
      </c>
      <c r="B79" s="12" t="s">
        <v>72</v>
      </c>
      <c r="C79" s="13" t="s">
        <v>102</v>
      </c>
      <c r="D79" s="14">
        <v>393.0</v>
      </c>
      <c r="E79" s="16"/>
      <c r="F79" s="14">
        <f t="shared" si="5"/>
        <v>393</v>
      </c>
      <c r="G79" s="19">
        <f t="shared" si="6"/>
        <v>13795</v>
      </c>
    </row>
    <row r="80">
      <c r="A80" s="12">
        <v>26.0</v>
      </c>
      <c r="B80" s="12" t="s">
        <v>72</v>
      </c>
      <c r="C80" s="13" t="s">
        <v>102</v>
      </c>
      <c r="D80" s="14">
        <v>413.0</v>
      </c>
      <c r="E80" s="16"/>
      <c r="F80" s="14">
        <f t="shared" si="5"/>
        <v>413</v>
      </c>
      <c r="G80" s="19">
        <f t="shared" si="6"/>
        <v>14208</v>
      </c>
    </row>
    <row r="81">
      <c r="A81" s="12">
        <v>27.0</v>
      </c>
      <c r="B81" s="12" t="s">
        <v>72</v>
      </c>
      <c r="C81" s="13" t="s">
        <v>102</v>
      </c>
      <c r="D81" s="14">
        <v>413.0</v>
      </c>
      <c r="E81" s="16"/>
      <c r="F81" s="14">
        <f t="shared" si="5"/>
        <v>413</v>
      </c>
      <c r="G81" s="19">
        <f t="shared" si="6"/>
        <v>14621</v>
      </c>
    </row>
    <row r="82">
      <c r="A82" s="12">
        <v>28.0</v>
      </c>
      <c r="B82" s="12" t="s">
        <v>72</v>
      </c>
      <c r="C82" s="13" t="s">
        <v>102</v>
      </c>
      <c r="D82" s="14">
        <v>433.0</v>
      </c>
      <c r="E82" s="16"/>
      <c r="F82" s="14">
        <f t="shared" si="5"/>
        <v>433</v>
      </c>
      <c r="G82" s="19">
        <f t="shared" si="6"/>
        <v>15054</v>
      </c>
    </row>
    <row r="83">
      <c r="A83" s="12">
        <v>29.0</v>
      </c>
      <c r="B83" s="12" t="s">
        <v>64</v>
      </c>
      <c r="C83" s="13" t="s">
        <v>121</v>
      </c>
      <c r="D83" s="14">
        <v>455.0</v>
      </c>
      <c r="E83" s="16"/>
      <c r="F83" s="14">
        <f t="shared" si="5"/>
        <v>455</v>
      </c>
      <c r="G83" s="19">
        <f t="shared" si="6"/>
        <v>15509</v>
      </c>
    </row>
    <row r="84">
      <c r="A84" s="24"/>
      <c r="B84" s="24"/>
      <c r="C84" s="26"/>
      <c r="D84" s="27">
        <v>31.0</v>
      </c>
      <c r="E84" s="28"/>
      <c r="F84" s="27">
        <f>SUM(F55:F83)</f>
        <v>15509</v>
      </c>
      <c r="G84" s="29">
        <f>G83</f>
        <v>15509</v>
      </c>
    </row>
    <row r="85">
      <c r="C85" s="30"/>
      <c r="G85" s="30"/>
    </row>
    <row r="86">
      <c r="A86" s="4" t="s">
        <v>309</v>
      </c>
      <c r="B86" s="5"/>
      <c r="C86" s="5"/>
      <c r="D86" s="5"/>
      <c r="E86" s="5"/>
      <c r="F86" s="5"/>
      <c r="G86" s="6"/>
    </row>
    <row r="87">
      <c r="A87" s="7"/>
      <c r="B87" s="8"/>
      <c r="C87" s="8"/>
      <c r="D87" s="8"/>
      <c r="E87" s="8"/>
      <c r="F87" s="8"/>
      <c r="G87" s="9"/>
    </row>
    <row r="88">
      <c r="A88" s="10"/>
      <c r="B88" s="10" t="s">
        <v>6</v>
      </c>
      <c r="C88" s="11" t="s">
        <v>7</v>
      </c>
      <c r="D88" s="10" t="s">
        <v>8</v>
      </c>
      <c r="E88" s="10" t="s">
        <v>9</v>
      </c>
      <c r="F88" s="10" t="s">
        <v>10</v>
      </c>
      <c r="G88" s="11" t="s">
        <v>11</v>
      </c>
    </row>
    <row r="89">
      <c r="A89" s="12">
        <v>1.0</v>
      </c>
      <c r="B89" s="12" t="s">
        <v>47</v>
      </c>
      <c r="C89" s="13" t="s">
        <v>81</v>
      </c>
      <c r="D89" s="14">
        <v>431.0</v>
      </c>
      <c r="E89" s="16"/>
      <c r="F89" s="14">
        <f t="shared" ref="F89:F122" si="7">SUM(D89:E89)</f>
        <v>431</v>
      </c>
      <c r="G89" s="19">
        <f>F89</f>
        <v>431</v>
      </c>
    </row>
    <row r="90">
      <c r="A90" s="12">
        <v>2.0</v>
      </c>
      <c r="B90" s="12" t="s">
        <v>47</v>
      </c>
      <c r="C90" s="13" t="s">
        <v>81</v>
      </c>
      <c r="D90" s="14">
        <v>453.0</v>
      </c>
      <c r="E90" s="16"/>
      <c r="F90" s="14">
        <f t="shared" si="7"/>
        <v>453</v>
      </c>
      <c r="G90" s="19">
        <f t="shared" ref="G90:G122" si="8">G89+F90</f>
        <v>884</v>
      </c>
    </row>
    <row r="91">
      <c r="A91" s="12">
        <v>3.0</v>
      </c>
      <c r="B91" s="12" t="s">
        <v>47</v>
      </c>
      <c r="C91" s="13" t="s">
        <v>81</v>
      </c>
      <c r="D91" s="14">
        <v>476.0</v>
      </c>
      <c r="E91" s="16"/>
      <c r="F91" s="14">
        <f t="shared" si="7"/>
        <v>476</v>
      </c>
      <c r="G91" s="19">
        <f t="shared" si="8"/>
        <v>1360</v>
      </c>
    </row>
    <row r="92">
      <c r="A92" s="12">
        <v>4.0</v>
      </c>
      <c r="B92" s="12" t="s">
        <v>47</v>
      </c>
      <c r="C92" s="13" t="s">
        <v>81</v>
      </c>
      <c r="D92" s="14">
        <v>500.0</v>
      </c>
      <c r="E92" s="16"/>
      <c r="F92" s="14">
        <f t="shared" si="7"/>
        <v>500</v>
      </c>
      <c r="G92" s="19">
        <f t="shared" si="8"/>
        <v>1860</v>
      </c>
    </row>
    <row r="93">
      <c r="A93" s="12">
        <v>5.0</v>
      </c>
      <c r="B93" s="12" t="s">
        <v>47</v>
      </c>
      <c r="C93" s="13" t="s">
        <v>81</v>
      </c>
      <c r="D93" s="14">
        <v>525.0</v>
      </c>
      <c r="E93" s="16"/>
      <c r="F93" s="14">
        <f t="shared" si="7"/>
        <v>525</v>
      </c>
      <c r="G93" s="19">
        <f t="shared" si="8"/>
        <v>2385</v>
      </c>
    </row>
    <row r="94">
      <c r="A94" s="12">
        <v>6.0</v>
      </c>
      <c r="B94" s="12" t="s">
        <v>51</v>
      </c>
      <c r="C94" s="13" t="s">
        <v>69</v>
      </c>
      <c r="D94" s="14">
        <v>551.0</v>
      </c>
      <c r="E94" s="16"/>
      <c r="F94" s="14">
        <f t="shared" si="7"/>
        <v>551</v>
      </c>
      <c r="G94" s="19">
        <f t="shared" si="8"/>
        <v>2936</v>
      </c>
    </row>
    <row r="95">
      <c r="A95" s="12">
        <v>7.0</v>
      </c>
      <c r="B95" s="12" t="s">
        <v>51</v>
      </c>
      <c r="C95" s="13" t="s">
        <v>69</v>
      </c>
      <c r="D95" s="14">
        <v>578.0</v>
      </c>
      <c r="E95" s="16"/>
      <c r="F95" s="14">
        <f t="shared" si="7"/>
        <v>578</v>
      </c>
      <c r="G95" s="19">
        <f t="shared" si="8"/>
        <v>3514</v>
      </c>
    </row>
    <row r="96">
      <c r="A96" s="12">
        <v>8.0</v>
      </c>
      <c r="B96" s="12" t="s">
        <v>51</v>
      </c>
      <c r="C96" s="13" t="s">
        <v>69</v>
      </c>
      <c r="D96" s="14">
        <v>607.0</v>
      </c>
      <c r="E96" s="16"/>
      <c r="F96" s="14">
        <f t="shared" si="7"/>
        <v>607</v>
      </c>
      <c r="G96" s="19">
        <f t="shared" si="8"/>
        <v>4121</v>
      </c>
    </row>
    <row r="97">
      <c r="A97" s="12">
        <v>9.0</v>
      </c>
      <c r="B97" s="12" t="s">
        <v>51</v>
      </c>
      <c r="C97" s="13" t="s">
        <v>69</v>
      </c>
      <c r="D97" s="14">
        <v>431.0</v>
      </c>
      <c r="E97" s="16"/>
      <c r="F97" s="14">
        <f t="shared" si="7"/>
        <v>431</v>
      </c>
      <c r="G97" s="19">
        <f t="shared" si="8"/>
        <v>4552</v>
      </c>
    </row>
    <row r="98">
      <c r="A98" s="12">
        <v>10.0</v>
      </c>
      <c r="B98" s="12" t="s">
        <v>51</v>
      </c>
      <c r="C98" s="13" t="s">
        <v>69</v>
      </c>
      <c r="D98" s="14">
        <v>453.0</v>
      </c>
      <c r="E98" s="16"/>
      <c r="F98" s="14">
        <f t="shared" si="7"/>
        <v>453</v>
      </c>
      <c r="G98" s="19">
        <f t="shared" si="8"/>
        <v>5005</v>
      </c>
    </row>
    <row r="99">
      <c r="A99" s="12">
        <v>11.0</v>
      </c>
      <c r="B99" s="12" t="s">
        <v>157</v>
      </c>
      <c r="C99" s="13" t="s">
        <v>179</v>
      </c>
      <c r="D99" s="14">
        <v>476.0</v>
      </c>
      <c r="E99" s="16"/>
      <c r="F99" s="14">
        <f t="shared" si="7"/>
        <v>476</v>
      </c>
      <c r="G99" s="19">
        <f t="shared" si="8"/>
        <v>5481</v>
      </c>
    </row>
    <row r="100">
      <c r="A100" s="12">
        <v>12.0</v>
      </c>
      <c r="B100" s="12" t="s">
        <v>99</v>
      </c>
      <c r="C100" s="13" t="s">
        <v>137</v>
      </c>
      <c r="D100" s="14">
        <v>431.0</v>
      </c>
      <c r="E100" s="16"/>
      <c r="F100" s="14">
        <f t="shared" si="7"/>
        <v>431</v>
      </c>
      <c r="G100" s="19">
        <f t="shared" si="8"/>
        <v>5912</v>
      </c>
    </row>
    <row r="101">
      <c r="A101" s="12">
        <v>13.0</v>
      </c>
      <c r="B101" s="12" t="s">
        <v>99</v>
      </c>
      <c r="C101" s="13" t="s">
        <v>137</v>
      </c>
      <c r="D101" s="14">
        <v>453.0</v>
      </c>
      <c r="E101" s="16"/>
      <c r="F101" s="14">
        <f t="shared" si="7"/>
        <v>453</v>
      </c>
      <c r="G101" s="19">
        <f t="shared" si="8"/>
        <v>6365</v>
      </c>
    </row>
    <row r="102">
      <c r="A102" s="12">
        <v>14.0</v>
      </c>
      <c r="B102" s="12" t="s">
        <v>99</v>
      </c>
      <c r="C102" s="13" t="s">
        <v>137</v>
      </c>
      <c r="D102" s="14">
        <v>476.0</v>
      </c>
      <c r="E102" s="16"/>
      <c r="F102" s="14">
        <f t="shared" si="7"/>
        <v>476</v>
      </c>
      <c r="G102" s="19">
        <f t="shared" si="8"/>
        <v>6841</v>
      </c>
    </row>
    <row r="103">
      <c r="A103" s="12">
        <v>15.0</v>
      </c>
      <c r="B103" s="12" t="s">
        <v>99</v>
      </c>
      <c r="C103" s="13" t="s">
        <v>137</v>
      </c>
      <c r="D103" s="14">
        <v>500.0</v>
      </c>
      <c r="E103" s="16"/>
      <c r="F103" s="14">
        <f t="shared" si="7"/>
        <v>500</v>
      </c>
      <c r="G103" s="19">
        <f t="shared" si="8"/>
        <v>7341</v>
      </c>
    </row>
    <row r="104">
      <c r="A104" s="12">
        <v>16.0</v>
      </c>
      <c r="B104" s="12" t="s">
        <v>99</v>
      </c>
      <c r="C104" s="13" t="s">
        <v>137</v>
      </c>
      <c r="D104" s="14">
        <v>525.0</v>
      </c>
      <c r="E104" s="16"/>
      <c r="F104" s="14">
        <f t="shared" si="7"/>
        <v>525</v>
      </c>
      <c r="G104" s="19">
        <f t="shared" si="8"/>
        <v>7866</v>
      </c>
    </row>
    <row r="105">
      <c r="A105" s="12">
        <v>17.0</v>
      </c>
      <c r="B105" s="12" t="s">
        <v>93</v>
      </c>
      <c r="C105" s="13" t="s">
        <v>136</v>
      </c>
      <c r="D105" s="14">
        <v>431.0</v>
      </c>
      <c r="E105" s="16"/>
      <c r="F105" s="14">
        <f t="shared" si="7"/>
        <v>431</v>
      </c>
      <c r="G105" s="19">
        <f t="shared" si="8"/>
        <v>8297</v>
      </c>
    </row>
    <row r="106">
      <c r="A106" s="12">
        <v>18.0</v>
      </c>
      <c r="B106" s="12" t="s">
        <v>93</v>
      </c>
      <c r="C106" s="13" t="s">
        <v>136</v>
      </c>
      <c r="D106" s="14">
        <v>453.0</v>
      </c>
      <c r="E106" s="16"/>
      <c r="F106" s="14">
        <f t="shared" si="7"/>
        <v>453</v>
      </c>
      <c r="G106" s="19">
        <f t="shared" si="8"/>
        <v>8750</v>
      </c>
    </row>
    <row r="107">
      <c r="A107" s="12">
        <v>19.0</v>
      </c>
      <c r="B107" s="12" t="s">
        <v>93</v>
      </c>
      <c r="C107" s="13" t="s">
        <v>136</v>
      </c>
      <c r="D107" s="14">
        <v>476.0</v>
      </c>
      <c r="E107" s="16"/>
      <c r="F107" s="14">
        <f t="shared" si="7"/>
        <v>476</v>
      </c>
      <c r="G107" s="19">
        <f t="shared" si="8"/>
        <v>9226</v>
      </c>
    </row>
    <row r="108">
      <c r="A108" s="12">
        <v>20.0</v>
      </c>
      <c r="B108" s="12" t="s">
        <v>93</v>
      </c>
      <c r="C108" s="13" t="s">
        <v>136</v>
      </c>
      <c r="D108" s="14">
        <v>500.0</v>
      </c>
      <c r="E108" s="16"/>
      <c r="F108" s="14">
        <f t="shared" si="7"/>
        <v>500</v>
      </c>
      <c r="G108" s="19">
        <f t="shared" si="8"/>
        <v>9726</v>
      </c>
    </row>
    <row r="109">
      <c r="A109" s="12">
        <v>21.0</v>
      </c>
      <c r="B109" s="12" t="s">
        <v>93</v>
      </c>
      <c r="C109" s="13" t="s">
        <v>136</v>
      </c>
      <c r="D109" s="14">
        <v>525.0</v>
      </c>
      <c r="E109" s="16"/>
      <c r="F109" s="14">
        <f t="shared" si="7"/>
        <v>525</v>
      </c>
      <c r="G109" s="19">
        <f t="shared" si="8"/>
        <v>10251</v>
      </c>
    </row>
    <row r="110">
      <c r="A110" s="12">
        <v>22.0</v>
      </c>
      <c r="B110" s="12" t="s">
        <v>22</v>
      </c>
      <c r="C110" s="13" t="s">
        <v>143</v>
      </c>
      <c r="D110" s="14">
        <v>937.0</v>
      </c>
      <c r="E110" s="14">
        <v>984.0</v>
      </c>
      <c r="F110" s="14">
        <f t="shared" si="7"/>
        <v>1921</v>
      </c>
      <c r="G110" s="19">
        <f t="shared" si="8"/>
        <v>12172</v>
      </c>
    </row>
    <row r="111">
      <c r="A111" s="12">
        <v>23.0</v>
      </c>
      <c r="B111" s="12" t="s">
        <v>104</v>
      </c>
      <c r="C111" s="13" t="s">
        <v>132</v>
      </c>
      <c r="D111" s="14">
        <v>431.0</v>
      </c>
      <c r="E111" s="16"/>
      <c r="F111" s="14">
        <f t="shared" si="7"/>
        <v>431</v>
      </c>
      <c r="G111" s="19">
        <f t="shared" si="8"/>
        <v>12603</v>
      </c>
    </row>
    <row r="112">
      <c r="A112" s="12">
        <v>24.0</v>
      </c>
      <c r="B112" s="12" t="s">
        <v>104</v>
      </c>
      <c r="C112" s="13" t="s">
        <v>132</v>
      </c>
      <c r="D112" s="14">
        <v>453.0</v>
      </c>
      <c r="E112" s="16"/>
      <c r="F112" s="14">
        <f t="shared" si="7"/>
        <v>453</v>
      </c>
      <c r="G112" s="19">
        <f t="shared" si="8"/>
        <v>13056</v>
      </c>
    </row>
    <row r="113">
      <c r="A113" s="12">
        <v>25.0</v>
      </c>
      <c r="B113" s="12" t="s">
        <v>106</v>
      </c>
      <c r="C113" s="13" t="s">
        <v>133</v>
      </c>
      <c r="D113" s="14">
        <v>431.0</v>
      </c>
      <c r="E113" s="16"/>
      <c r="F113" s="14">
        <f t="shared" si="7"/>
        <v>431</v>
      </c>
      <c r="G113" s="19">
        <f t="shared" si="8"/>
        <v>13487</v>
      </c>
    </row>
    <row r="114">
      <c r="A114" s="12">
        <v>26.0</v>
      </c>
      <c r="B114" s="12" t="s">
        <v>106</v>
      </c>
      <c r="C114" s="13" t="s">
        <v>133</v>
      </c>
      <c r="D114" s="14">
        <v>453.0</v>
      </c>
      <c r="E114" s="16"/>
      <c r="F114" s="14">
        <f t="shared" si="7"/>
        <v>453</v>
      </c>
      <c r="G114" s="19">
        <f t="shared" si="8"/>
        <v>13940</v>
      </c>
    </row>
    <row r="115">
      <c r="A115" s="12">
        <v>27.0</v>
      </c>
      <c r="B115" s="12" t="s">
        <v>106</v>
      </c>
      <c r="C115" s="13" t="s">
        <v>133</v>
      </c>
      <c r="D115" s="14">
        <v>476.0</v>
      </c>
      <c r="E115" s="16"/>
      <c r="F115" s="14">
        <f t="shared" si="7"/>
        <v>476</v>
      </c>
      <c r="G115" s="19">
        <f t="shared" si="8"/>
        <v>14416</v>
      </c>
    </row>
    <row r="116">
      <c r="A116" s="12">
        <v>28.0</v>
      </c>
      <c r="B116" s="12" t="s">
        <v>106</v>
      </c>
      <c r="C116" s="13" t="s">
        <v>133</v>
      </c>
      <c r="D116" s="14">
        <v>500.0</v>
      </c>
      <c r="E116" s="16"/>
      <c r="F116" s="14">
        <f t="shared" si="7"/>
        <v>500</v>
      </c>
      <c r="G116" s="19">
        <f t="shared" si="8"/>
        <v>14916</v>
      </c>
    </row>
    <row r="117">
      <c r="A117" s="12">
        <v>29.0</v>
      </c>
      <c r="B117" s="12" t="s">
        <v>106</v>
      </c>
      <c r="C117" s="13" t="s">
        <v>133</v>
      </c>
      <c r="D117" s="14">
        <v>525.0</v>
      </c>
      <c r="E117" s="16"/>
      <c r="F117" s="14">
        <f t="shared" si="7"/>
        <v>525</v>
      </c>
      <c r="G117" s="19">
        <f t="shared" si="8"/>
        <v>15441</v>
      </c>
    </row>
    <row r="118">
      <c r="A118" s="12">
        <v>30.0</v>
      </c>
      <c r="B118" s="12" t="s">
        <v>104</v>
      </c>
      <c r="C118" s="13" t="s">
        <v>132</v>
      </c>
      <c r="D118" s="14">
        <v>551.0</v>
      </c>
      <c r="E118" s="16"/>
      <c r="F118" s="14">
        <f t="shared" si="7"/>
        <v>551</v>
      </c>
      <c r="G118" s="19">
        <f t="shared" si="8"/>
        <v>15992</v>
      </c>
    </row>
    <row r="119">
      <c r="A119" s="12">
        <v>31.0</v>
      </c>
      <c r="B119" s="12" t="s">
        <v>104</v>
      </c>
      <c r="C119" s="13" t="s">
        <v>132</v>
      </c>
      <c r="D119" s="14">
        <v>578.0</v>
      </c>
      <c r="E119" s="16"/>
      <c r="F119" s="14">
        <f t="shared" si="7"/>
        <v>578</v>
      </c>
      <c r="G119" s="19">
        <f t="shared" si="8"/>
        <v>16570</v>
      </c>
    </row>
    <row r="120">
      <c r="A120" s="12">
        <v>32.0</v>
      </c>
      <c r="B120" s="12" t="s">
        <v>104</v>
      </c>
      <c r="C120" s="13" t="s">
        <v>132</v>
      </c>
      <c r="D120" s="14">
        <v>607.0</v>
      </c>
      <c r="E120" s="16"/>
      <c r="F120" s="14">
        <f t="shared" si="7"/>
        <v>607</v>
      </c>
      <c r="G120" s="19">
        <f t="shared" si="8"/>
        <v>17177</v>
      </c>
    </row>
    <row r="121">
      <c r="A121" s="12">
        <v>33.0</v>
      </c>
      <c r="B121" s="12" t="s">
        <v>160</v>
      </c>
      <c r="C121" s="13" t="s">
        <v>169</v>
      </c>
      <c r="D121" s="14">
        <v>476.0</v>
      </c>
      <c r="E121" s="16"/>
      <c r="F121" s="14">
        <f t="shared" si="7"/>
        <v>476</v>
      </c>
      <c r="G121" s="19">
        <f t="shared" si="8"/>
        <v>17653</v>
      </c>
    </row>
    <row r="122">
      <c r="A122" s="12">
        <v>34.0</v>
      </c>
      <c r="B122" s="12" t="s">
        <v>318</v>
      </c>
      <c r="C122" s="23" t="s">
        <v>319</v>
      </c>
      <c r="D122" s="14">
        <v>2250.0</v>
      </c>
      <c r="E122" s="16"/>
      <c r="F122" s="14">
        <f t="shared" si="7"/>
        <v>2250</v>
      </c>
      <c r="G122" s="19">
        <f t="shared" si="8"/>
        <v>19903</v>
      </c>
    </row>
    <row r="123">
      <c r="A123" s="24"/>
      <c r="B123" s="24"/>
      <c r="C123" s="26"/>
      <c r="D123" s="27">
        <v>35.0</v>
      </c>
      <c r="E123" s="28"/>
      <c r="F123" s="27">
        <f>SUM(F89:F122)</f>
        <v>19903</v>
      </c>
      <c r="G123" s="29">
        <f>G122</f>
        <v>19903</v>
      </c>
    </row>
  </sheetData>
  <mergeCells count="4">
    <mergeCell ref="A1:G2"/>
    <mergeCell ref="A23:G24"/>
    <mergeCell ref="A52:G53"/>
    <mergeCell ref="A86:G87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9.0"/>
    <col customWidth="1" min="3" max="3" width="62.14"/>
    <col customWidth="1" min="4" max="5" width="7.14"/>
    <col customWidth="1" min="6" max="6" width="7.0"/>
    <col customWidth="1" min="7" max="7" width="8.57"/>
  </cols>
  <sheetData>
    <row r="1">
      <c r="A1" s="4" t="s">
        <v>131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12</v>
      </c>
      <c r="C4" s="13" t="s">
        <v>13</v>
      </c>
      <c r="D4" s="14">
        <v>178.0</v>
      </c>
      <c r="E4" s="16"/>
      <c r="F4" s="14">
        <f t="shared" ref="F4:F20" si="1">SUM(D4:E4)</f>
        <v>178</v>
      </c>
      <c r="G4" s="19">
        <f>F4</f>
        <v>178</v>
      </c>
    </row>
    <row r="5">
      <c r="A5" s="12">
        <v>2.0</v>
      </c>
      <c r="B5" s="12" t="s">
        <v>12</v>
      </c>
      <c r="C5" s="13" t="s">
        <v>13</v>
      </c>
      <c r="D5" s="14">
        <v>187.0</v>
      </c>
      <c r="E5" s="16"/>
      <c r="F5" s="14">
        <f t="shared" si="1"/>
        <v>187</v>
      </c>
      <c r="G5" s="19">
        <f t="shared" ref="G5:G20" si="2">G4+F5</f>
        <v>365</v>
      </c>
    </row>
    <row r="6">
      <c r="A6" s="12">
        <v>3.0</v>
      </c>
      <c r="B6" s="12" t="s">
        <v>12</v>
      </c>
      <c r="C6" s="13" t="s">
        <v>13</v>
      </c>
      <c r="D6" s="14">
        <v>197.0</v>
      </c>
      <c r="E6" s="16"/>
      <c r="F6" s="14">
        <f t="shared" si="1"/>
        <v>197</v>
      </c>
      <c r="G6" s="19">
        <f t="shared" si="2"/>
        <v>562</v>
      </c>
    </row>
    <row r="7">
      <c r="A7" s="12">
        <v>4.0</v>
      </c>
      <c r="B7" s="12" t="s">
        <v>12</v>
      </c>
      <c r="C7" s="13" t="s">
        <v>13</v>
      </c>
      <c r="D7" s="14">
        <v>206.0</v>
      </c>
      <c r="E7" s="16"/>
      <c r="F7" s="14">
        <f t="shared" si="1"/>
        <v>206</v>
      </c>
      <c r="G7" s="19">
        <f t="shared" si="2"/>
        <v>768</v>
      </c>
    </row>
    <row r="8">
      <c r="A8" s="12">
        <v>5.0</v>
      </c>
      <c r="B8" s="12" t="s">
        <v>12</v>
      </c>
      <c r="C8" s="13" t="s">
        <v>13</v>
      </c>
      <c r="D8" s="14">
        <v>217.0</v>
      </c>
      <c r="E8" s="16"/>
      <c r="F8" s="14">
        <f t="shared" si="1"/>
        <v>217</v>
      </c>
      <c r="G8" s="19">
        <f t="shared" si="2"/>
        <v>985</v>
      </c>
    </row>
    <row r="9">
      <c r="A9" s="12">
        <v>6.0</v>
      </c>
      <c r="B9" s="12" t="s">
        <v>12</v>
      </c>
      <c r="C9" s="13" t="s">
        <v>13</v>
      </c>
      <c r="D9" s="14">
        <v>228.0</v>
      </c>
      <c r="E9" s="16"/>
      <c r="F9" s="14">
        <f t="shared" si="1"/>
        <v>228</v>
      </c>
      <c r="G9" s="19">
        <f t="shared" si="2"/>
        <v>1213</v>
      </c>
    </row>
    <row r="10">
      <c r="A10" s="12">
        <v>7.0</v>
      </c>
      <c r="B10" s="12" t="s">
        <v>281</v>
      </c>
      <c r="C10" s="13" t="s">
        <v>299</v>
      </c>
      <c r="D10" s="14">
        <v>407.0</v>
      </c>
      <c r="E10" s="14">
        <v>427.0</v>
      </c>
      <c r="F10" s="14">
        <f t="shared" si="1"/>
        <v>834</v>
      </c>
      <c r="G10" s="19">
        <f t="shared" si="2"/>
        <v>2047</v>
      </c>
    </row>
    <row r="11">
      <c r="A11" s="12">
        <v>8.0</v>
      </c>
      <c r="B11" s="12" t="s">
        <v>22</v>
      </c>
      <c r="C11" s="13" t="s">
        <v>23</v>
      </c>
      <c r="D11" s="14">
        <v>178.0</v>
      </c>
      <c r="E11" s="16"/>
      <c r="F11" s="14">
        <f t="shared" si="1"/>
        <v>178</v>
      </c>
      <c r="G11" s="19">
        <f t="shared" si="2"/>
        <v>2225</v>
      </c>
    </row>
    <row r="12">
      <c r="A12" s="12">
        <v>9.0</v>
      </c>
      <c r="B12" s="12" t="s">
        <v>22</v>
      </c>
      <c r="C12" s="13" t="s">
        <v>23</v>
      </c>
      <c r="D12" s="14">
        <v>187.0</v>
      </c>
      <c r="E12" s="16"/>
      <c r="F12" s="14">
        <f t="shared" si="1"/>
        <v>187</v>
      </c>
      <c r="G12" s="19">
        <f t="shared" si="2"/>
        <v>2412</v>
      </c>
    </row>
    <row r="13">
      <c r="A13" s="12">
        <v>10.0</v>
      </c>
      <c r="B13" s="12" t="s">
        <v>25</v>
      </c>
      <c r="C13" s="13" t="s">
        <v>26</v>
      </c>
      <c r="D13" s="14">
        <v>178.0</v>
      </c>
      <c r="E13" s="16"/>
      <c r="F13" s="14">
        <f t="shared" si="1"/>
        <v>178</v>
      </c>
      <c r="G13" s="19">
        <f t="shared" si="2"/>
        <v>2590</v>
      </c>
    </row>
    <row r="14">
      <c r="A14" s="12">
        <v>11.0</v>
      </c>
      <c r="B14" s="12" t="s">
        <v>25</v>
      </c>
      <c r="C14" s="13" t="s">
        <v>26</v>
      </c>
      <c r="D14" s="14">
        <v>187.0</v>
      </c>
      <c r="E14" s="16"/>
      <c r="F14" s="14">
        <f t="shared" si="1"/>
        <v>187</v>
      </c>
      <c r="G14" s="19">
        <f t="shared" si="2"/>
        <v>2777</v>
      </c>
    </row>
    <row r="15">
      <c r="A15" s="12">
        <v>12.0</v>
      </c>
      <c r="B15" s="12" t="s">
        <v>25</v>
      </c>
      <c r="C15" s="13" t="s">
        <v>26</v>
      </c>
      <c r="D15" s="14">
        <v>197.0</v>
      </c>
      <c r="E15" s="16"/>
      <c r="F15" s="14">
        <f t="shared" si="1"/>
        <v>197</v>
      </c>
      <c r="G15" s="19">
        <f t="shared" si="2"/>
        <v>2974</v>
      </c>
    </row>
    <row r="16">
      <c r="A16" s="12">
        <v>13.0</v>
      </c>
      <c r="B16" s="12" t="s">
        <v>25</v>
      </c>
      <c r="C16" s="13" t="s">
        <v>26</v>
      </c>
      <c r="D16" s="14">
        <v>206.0</v>
      </c>
      <c r="E16" s="16"/>
      <c r="F16" s="14">
        <f t="shared" si="1"/>
        <v>206</v>
      </c>
      <c r="G16" s="19">
        <f t="shared" si="2"/>
        <v>3180</v>
      </c>
    </row>
    <row r="17">
      <c r="A17" s="12">
        <v>14.0</v>
      </c>
      <c r="B17" s="12" t="s">
        <v>25</v>
      </c>
      <c r="C17" s="13" t="s">
        <v>26</v>
      </c>
      <c r="D17" s="14">
        <v>217.0</v>
      </c>
      <c r="E17" s="16"/>
      <c r="F17" s="14">
        <f t="shared" si="1"/>
        <v>217</v>
      </c>
      <c r="G17" s="19">
        <f t="shared" si="2"/>
        <v>3397</v>
      </c>
    </row>
    <row r="18">
      <c r="A18" s="12">
        <v>15.0</v>
      </c>
      <c r="B18" s="12" t="s">
        <v>25</v>
      </c>
      <c r="C18" s="13" t="s">
        <v>26</v>
      </c>
      <c r="D18" s="14">
        <v>228.0</v>
      </c>
      <c r="E18" s="16"/>
      <c r="F18" s="14">
        <f t="shared" si="1"/>
        <v>228</v>
      </c>
      <c r="G18" s="19">
        <f t="shared" si="2"/>
        <v>3625</v>
      </c>
    </row>
    <row r="19">
      <c r="A19" s="12">
        <v>16.0</v>
      </c>
      <c r="B19" s="12" t="s">
        <v>28</v>
      </c>
      <c r="C19" s="13" t="s">
        <v>29</v>
      </c>
      <c r="D19" s="14">
        <v>407.0</v>
      </c>
      <c r="E19" s="14">
        <v>427.0</v>
      </c>
      <c r="F19" s="14">
        <f t="shared" si="1"/>
        <v>834</v>
      </c>
      <c r="G19" s="19">
        <f t="shared" si="2"/>
        <v>4459</v>
      </c>
    </row>
    <row r="20">
      <c r="A20" s="12">
        <v>17.0</v>
      </c>
      <c r="B20" s="12" t="s">
        <v>303</v>
      </c>
      <c r="C20" s="23" t="s">
        <v>304</v>
      </c>
      <c r="D20" s="14">
        <v>1131.0</v>
      </c>
      <c r="E20" s="16"/>
      <c r="F20" s="14">
        <f t="shared" si="1"/>
        <v>1131</v>
      </c>
      <c r="G20" s="19">
        <f t="shared" si="2"/>
        <v>5590</v>
      </c>
    </row>
    <row r="21">
      <c r="A21" s="24"/>
      <c r="B21" s="24"/>
      <c r="C21" s="26"/>
      <c r="D21" s="27">
        <v>19.0</v>
      </c>
      <c r="E21" s="28"/>
      <c r="F21" s="27">
        <f>SUM(F4:F20)</f>
        <v>5590</v>
      </c>
      <c r="G21" s="29">
        <f>G20</f>
        <v>5590</v>
      </c>
    </row>
    <row r="22">
      <c r="C22" s="30"/>
      <c r="G22" s="30"/>
    </row>
    <row r="23">
      <c r="A23" s="4" t="s">
        <v>289</v>
      </c>
      <c r="B23" s="5"/>
      <c r="C23" s="5"/>
      <c r="D23" s="5"/>
      <c r="E23" s="5"/>
      <c r="F23" s="5"/>
      <c r="G23" s="6"/>
    </row>
    <row r="24">
      <c r="A24" s="7"/>
      <c r="B24" s="8"/>
      <c r="C24" s="8"/>
      <c r="D24" s="8"/>
      <c r="E24" s="8"/>
      <c r="F24" s="8"/>
      <c r="G24" s="9"/>
    </row>
    <row r="25">
      <c r="A25" s="10"/>
      <c r="B25" s="10" t="s">
        <v>6</v>
      </c>
      <c r="C25" s="11" t="s">
        <v>7</v>
      </c>
      <c r="D25" s="10" t="s">
        <v>8</v>
      </c>
      <c r="E25" s="10" t="s">
        <v>9</v>
      </c>
      <c r="F25" s="10" t="s">
        <v>10</v>
      </c>
      <c r="G25" s="11" t="s">
        <v>11</v>
      </c>
    </row>
    <row r="26">
      <c r="A26" s="12">
        <v>1.0</v>
      </c>
      <c r="B26" s="12" t="s">
        <v>40</v>
      </c>
      <c r="C26" s="13" t="s">
        <v>41</v>
      </c>
      <c r="D26" s="14">
        <v>268.0</v>
      </c>
      <c r="E26" s="16"/>
      <c r="F26" s="14">
        <f t="shared" ref="F26:F49" si="3">SUM(D26:E26)</f>
        <v>268</v>
      </c>
      <c r="G26" s="19">
        <f>F26</f>
        <v>268</v>
      </c>
    </row>
    <row r="27">
      <c r="A27" s="12">
        <v>2.0</v>
      </c>
      <c r="B27" s="12" t="s">
        <v>40</v>
      </c>
      <c r="C27" s="13" t="s">
        <v>41</v>
      </c>
      <c r="D27" s="14">
        <v>281.0</v>
      </c>
      <c r="E27" s="16"/>
      <c r="F27" s="14">
        <f t="shared" si="3"/>
        <v>281</v>
      </c>
      <c r="G27" s="19">
        <f t="shared" ref="G27:G49" si="4">G26+F27</f>
        <v>549</v>
      </c>
    </row>
    <row r="28">
      <c r="A28" s="12">
        <v>3.0</v>
      </c>
      <c r="B28" s="12" t="s">
        <v>40</v>
      </c>
      <c r="C28" s="13" t="s">
        <v>41</v>
      </c>
      <c r="D28" s="14">
        <v>295.0</v>
      </c>
      <c r="E28" s="16"/>
      <c r="F28" s="14">
        <f t="shared" si="3"/>
        <v>295</v>
      </c>
      <c r="G28" s="19">
        <f t="shared" si="4"/>
        <v>844</v>
      </c>
    </row>
    <row r="29">
      <c r="A29" s="12">
        <v>4.0</v>
      </c>
      <c r="B29" s="12" t="s">
        <v>43</v>
      </c>
      <c r="C29" s="13" t="s">
        <v>44</v>
      </c>
      <c r="D29" s="14">
        <v>268.0</v>
      </c>
      <c r="E29" s="16"/>
      <c r="F29" s="14">
        <f t="shared" si="3"/>
        <v>268</v>
      </c>
      <c r="G29" s="19">
        <f t="shared" si="4"/>
        <v>1112</v>
      </c>
    </row>
    <row r="30">
      <c r="A30" s="12">
        <v>5.0</v>
      </c>
      <c r="B30" s="12" t="s">
        <v>43</v>
      </c>
      <c r="C30" s="13" t="s">
        <v>44</v>
      </c>
      <c r="D30" s="14">
        <v>281.0</v>
      </c>
      <c r="E30" s="16"/>
      <c r="F30" s="14">
        <f t="shared" si="3"/>
        <v>281</v>
      </c>
      <c r="G30" s="19">
        <f t="shared" si="4"/>
        <v>1393</v>
      </c>
    </row>
    <row r="31">
      <c r="A31" s="12">
        <v>6.0</v>
      </c>
      <c r="B31" s="12" t="s">
        <v>43</v>
      </c>
      <c r="C31" s="13" t="s">
        <v>44</v>
      </c>
      <c r="D31" s="14">
        <v>295.0</v>
      </c>
      <c r="E31" s="16"/>
      <c r="F31" s="14">
        <f t="shared" si="3"/>
        <v>295</v>
      </c>
      <c r="G31" s="19">
        <f t="shared" si="4"/>
        <v>1688</v>
      </c>
    </row>
    <row r="32">
      <c r="A32" s="12">
        <v>7.0</v>
      </c>
      <c r="B32" s="12" t="s">
        <v>43</v>
      </c>
      <c r="C32" s="13" t="s">
        <v>44</v>
      </c>
      <c r="D32" s="14">
        <v>310.0</v>
      </c>
      <c r="E32" s="16"/>
      <c r="F32" s="14">
        <f t="shared" si="3"/>
        <v>310</v>
      </c>
      <c r="G32" s="19">
        <f t="shared" si="4"/>
        <v>1998</v>
      </c>
    </row>
    <row r="33">
      <c r="A33" s="12">
        <v>8.0</v>
      </c>
      <c r="B33" s="12" t="s">
        <v>45</v>
      </c>
      <c r="C33" s="13" t="s">
        <v>46</v>
      </c>
      <c r="D33" s="14">
        <v>553.0</v>
      </c>
      <c r="E33" s="14">
        <v>581.0</v>
      </c>
      <c r="F33" s="14">
        <f t="shared" si="3"/>
        <v>1134</v>
      </c>
      <c r="G33" s="19">
        <f t="shared" si="4"/>
        <v>3132</v>
      </c>
    </row>
    <row r="34">
      <c r="A34" s="12">
        <v>9.0</v>
      </c>
      <c r="B34" s="12" t="s">
        <v>40</v>
      </c>
      <c r="C34" s="13" t="s">
        <v>41</v>
      </c>
      <c r="D34" s="14">
        <v>342.0</v>
      </c>
      <c r="E34" s="16"/>
      <c r="F34" s="14">
        <f t="shared" si="3"/>
        <v>342</v>
      </c>
      <c r="G34" s="19">
        <f t="shared" si="4"/>
        <v>3474</v>
      </c>
    </row>
    <row r="35">
      <c r="A35" s="12">
        <v>10.0</v>
      </c>
      <c r="B35" s="12" t="s">
        <v>47</v>
      </c>
      <c r="C35" s="13" t="s">
        <v>48</v>
      </c>
      <c r="D35" s="14">
        <v>359.0</v>
      </c>
      <c r="E35" s="16"/>
      <c r="F35" s="14">
        <f t="shared" si="3"/>
        <v>359</v>
      </c>
      <c r="G35" s="19">
        <f t="shared" si="4"/>
        <v>3833</v>
      </c>
    </row>
    <row r="36">
      <c r="A36" s="12">
        <v>11.0</v>
      </c>
      <c r="B36" s="12" t="s">
        <v>40</v>
      </c>
      <c r="C36" s="13" t="s">
        <v>41</v>
      </c>
      <c r="D36" s="14">
        <v>377.0</v>
      </c>
      <c r="E36" s="16"/>
      <c r="F36" s="14">
        <f t="shared" si="3"/>
        <v>377</v>
      </c>
      <c r="G36" s="19">
        <f t="shared" si="4"/>
        <v>4210</v>
      </c>
    </row>
    <row r="37">
      <c r="A37" s="12">
        <v>12.0</v>
      </c>
      <c r="B37" s="12" t="s">
        <v>64</v>
      </c>
      <c r="C37" s="13" t="s">
        <v>66</v>
      </c>
      <c r="D37" s="14">
        <v>396.0</v>
      </c>
      <c r="E37" s="16"/>
      <c r="F37" s="14">
        <f t="shared" si="3"/>
        <v>396</v>
      </c>
      <c r="G37" s="19">
        <f t="shared" si="4"/>
        <v>4606</v>
      </c>
    </row>
    <row r="38">
      <c r="A38" s="12">
        <v>13.0</v>
      </c>
      <c r="B38" s="12" t="s">
        <v>40</v>
      </c>
      <c r="C38" s="13" t="s">
        <v>41</v>
      </c>
      <c r="D38" s="14">
        <v>415.0</v>
      </c>
      <c r="E38" s="16"/>
      <c r="F38" s="14">
        <f t="shared" si="3"/>
        <v>415</v>
      </c>
      <c r="G38" s="19">
        <f t="shared" si="4"/>
        <v>5021</v>
      </c>
    </row>
    <row r="39">
      <c r="A39" s="12">
        <v>14.0</v>
      </c>
      <c r="B39" s="12" t="s">
        <v>47</v>
      </c>
      <c r="C39" s="13" t="s">
        <v>48</v>
      </c>
      <c r="D39" s="14">
        <v>436.0</v>
      </c>
      <c r="E39" s="16"/>
      <c r="F39" s="14">
        <f t="shared" si="3"/>
        <v>436</v>
      </c>
      <c r="G39" s="19">
        <f t="shared" si="4"/>
        <v>5457</v>
      </c>
    </row>
    <row r="40">
      <c r="A40" s="12">
        <v>15.0</v>
      </c>
      <c r="B40" s="12" t="s">
        <v>40</v>
      </c>
      <c r="C40" s="13" t="s">
        <v>41</v>
      </c>
      <c r="D40" s="14">
        <v>458.0</v>
      </c>
      <c r="E40" s="16"/>
      <c r="F40" s="14">
        <f t="shared" si="3"/>
        <v>458</v>
      </c>
      <c r="G40" s="19">
        <f t="shared" si="4"/>
        <v>5915</v>
      </c>
    </row>
    <row r="41">
      <c r="A41" s="12">
        <v>16.0</v>
      </c>
      <c r="B41" s="12" t="s">
        <v>43</v>
      </c>
      <c r="C41" s="13" t="s">
        <v>44</v>
      </c>
      <c r="D41" s="14">
        <v>342.0</v>
      </c>
      <c r="E41" s="16"/>
      <c r="F41" s="14">
        <f t="shared" si="3"/>
        <v>342</v>
      </c>
      <c r="G41" s="19">
        <f t="shared" si="4"/>
        <v>6257</v>
      </c>
    </row>
    <row r="42">
      <c r="A42" s="12">
        <v>17.0</v>
      </c>
      <c r="B42" s="12" t="s">
        <v>51</v>
      </c>
      <c r="C42" s="13" t="s">
        <v>52</v>
      </c>
      <c r="D42" s="14">
        <v>359.0</v>
      </c>
      <c r="E42" s="16"/>
      <c r="F42" s="14">
        <f t="shared" si="3"/>
        <v>359</v>
      </c>
      <c r="G42" s="19">
        <f t="shared" si="4"/>
        <v>6616</v>
      </c>
    </row>
    <row r="43">
      <c r="A43" s="12">
        <v>18.0</v>
      </c>
      <c r="B43" s="12" t="s">
        <v>43</v>
      </c>
      <c r="C43" s="13" t="s">
        <v>44</v>
      </c>
      <c r="D43" s="14">
        <v>377.0</v>
      </c>
      <c r="E43" s="16"/>
      <c r="F43" s="14">
        <f t="shared" si="3"/>
        <v>377</v>
      </c>
      <c r="G43" s="19">
        <f t="shared" si="4"/>
        <v>6993</v>
      </c>
    </row>
    <row r="44">
      <c r="A44" s="12">
        <v>19.0</v>
      </c>
      <c r="B44" s="12" t="s">
        <v>75</v>
      </c>
      <c r="C44" s="13" t="s">
        <v>76</v>
      </c>
      <c r="D44" s="14">
        <v>396.0</v>
      </c>
      <c r="E44" s="16"/>
      <c r="F44" s="14">
        <f t="shared" si="3"/>
        <v>396</v>
      </c>
      <c r="G44" s="19">
        <f t="shared" si="4"/>
        <v>7389</v>
      </c>
    </row>
    <row r="45">
      <c r="A45" s="12">
        <v>20.0</v>
      </c>
      <c r="B45" s="12" t="s">
        <v>43</v>
      </c>
      <c r="C45" s="13" t="s">
        <v>44</v>
      </c>
      <c r="D45" s="14">
        <v>415.0</v>
      </c>
      <c r="E45" s="16"/>
      <c r="F45" s="14">
        <f t="shared" si="3"/>
        <v>415</v>
      </c>
      <c r="G45" s="19">
        <f t="shared" si="4"/>
        <v>7804</v>
      </c>
    </row>
    <row r="46">
      <c r="A46" s="12">
        <v>21.0</v>
      </c>
      <c r="B46" s="12" t="s">
        <v>51</v>
      </c>
      <c r="C46" s="13" t="s">
        <v>52</v>
      </c>
      <c r="D46" s="14">
        <v>436.0</v>
      </c>
      <c r="E46" s="16"/>
      <c r="F46" s="14">
        <f t="shared" si="3"/>
        <v>436</v>
      </c>
      <c r="G46" s="19">
        <f t="shared" si="4"/>
        <v>8240</v>
      </c>
    </row>
    <row r="47">
      <c r="A47" s="12">
        <v>22.0</v>
      </c>
      <c r="B47" s="12" t="s">
        <v>43</v>
      </c>
      <c r="C47" s="13" t="s">
        <v>44</v>
      </c>
      <c r="D47" s="14">
        <v>458.0</v>
      </c>
      <c r="E47" s="16"/>
      <c r="F47" s="14">
        <f t="shared" si="3"/>
        <v>458</v>
      </c>
      <c r="G47" s="19">
        <f t="shared" si="4"/>
        <v>8698</v>
      </c>
    </row>
    <row r="48">
      <c r="A48" s="12">
        <v>23.0</v>
      </c>
      <c r="B48" s="12" t="s">
        <v>55</v>
      </c>
      <c r="C48" s="13" t="s">
        <v>56</v>
      </c>
      <c r="D48" s="14">
        <v>2166.0</v>
      </c>
      <c r="E48" s="16"/>
      <c r="F48" s="14">
        <f t="shared" si="3"/>
        <v>2166</v>
      </c>
      <c r="G48" s="19">
        <f t="shared" si="4"/>
        <v>10864</v>
      </c>
    </row>
    <row r="49">
      <c r="A49" s="12">
        <v>24.0</v>
      </c>
      <c r="B49" s="12" t="s">
        <v>40</v>
      </c>
      <c r="C49" s="13" t="s">
        <v>41</v>
      </c>
      <c r="D49" s="14">
        <v>325.0</v>
      </c>
      <c r="E49" s="16"/>
      <c r="F49" s="14">
        <f t="shared" si="3"/>
        <v>325</v>
      </c>
      <c r="G49" s="19">
        <f t="shared" si="4"/>
        <v>11189</v>
      </c>
    </row>
    <row r="50">
      <c r="A50" s="24"/>
      <c r="B50" s="24"/>
      <c r="C50" s="26"/>
      <c r="D50" s="27">
        <v>25.0</v>
      </c>
      <c r="E50" s="28"/>
      <c r="F50" s="27">
        <f>SUM(F26:F49)</f>
        <v>11189</v>
      </c>
      <c r="G50" s="29">
        <f>G49</f>
        <v>11189</v>
      </c>
    </row>
    <row r="51">
      <c r="C51" s="30"/>
      <c r="G51" s="30"/>
    </row>
    <row r="52">
      <c r="A52" s="4" t="s">
        <v>297</v>
      </c>
      <c r="B52" s="5"/>
      <c r="C52" s="5"/>
      <c r="D52" s="5"/>
      <c r="E52" s="5"/>
      <c r="F52" s="5"/>
      <c r="G52" s="6"/>
    </row>
    <row r="53">
      <c r="A53" s="7"/>
      <c r="B53" s="8"/>
      <c r="C53" s="8"/>
      <c r="D53" s="8"/>
      <c r="E53" s="8"/>
      <c r="F53" s="8"/>
      <c r="G53" s="9"/>
    </row>
    <row r="54">
      <c r="A54" s="10"/>
      <c r="B54" s="10" t="s">
        <v>6</v>
      </c>
      <c r="C54" s="11" t="s">
        <v>7</v>
      </c>
      <c r="D54" s="10" t="s">
        <v>8</v>
      </c>
      <c r="E54" s="10" t="s">
        <v>9</v>
      </c>
      <c r="F54" s="10" t="s">
        <v>10</v>
      </c>
      <c r="G54" s="11" t="s">
        <v>11</v>
      </c>
    </row>
    <row r="55">
      <c r="A55" s="12">
        <v>1.0</v>
      </c>
      <c r="B55" s="12" t="s">
        <v>72</v>
      </c>
      <c r="C55" s="13" t="s">
        <v>73</v>
      </c>
      <c r="D55" s="14">
        <v>356.0</v>
      </c>
      <c r="E55" s="16"/>
      <c r="F55" s="14">
        <f t="shared" ref="F55:F83" si="5">SUM(D55:E55)</f>
        <v>356</v>
      </c>
      <c r="G55" s="19">
        <f>F55</f>
        <v>356</v>
      </c>
    </row>
    <row r="56">
      <c r="A56" s="12">
        <v>2.0</v>
      </c>
      <c r="B56" s="12" t="s">
        <v>72</v>
      </c>
      <c r="C56" s="13" t="s">
        <v>73</v>
      </c>
      <c r="D56" s="14">
        <v>374.0</v>
      </c>
      <c r="E56" s="16"/>
      <c r="F56" s="14">
        <f t="shared" si="5"/>
        <v>374</v>
      </c>
      <c r="G56" s="19">
        <f t="shared" ref="G56:G83" si="6">G55+F56</f>
        <v>730</v>
      </c>
    </row>
    <row r="57">
      <c r="A57" s="12">
        <v>3.0</v>
      </c>
      <c r="B57" s="12" t="s">
        <v>72</v>
      </c>
      <c r="C57" s="13" t="s">
        <v>73</v>
      </c>
      <c r="D57" s="14">
        <v>393.0</v>
      </c>
      <c r="E57" s="16"/>
      <c r="F57" s="14">
        <f t="shared" si="5"/>
        <v>393</v>
      </c>
      <c r="G57" s="19">
        <f t="shared" si="6"/>
        <v>1123</v>
      </c>
    </row>
    <row r="58">
      <c r="A58" s="12">
        <v>4.0</v>
      </c>
      <c r="B58" s="12" t="s">
        <v>72</v>
      </c>
      <c r="C58" s="13" t="s">
        <v>73</v>
      </c>
      <c r="D58" s="14">
        <v>413.0</v>
      </c>
      <c r="E58" s="16"/>
      <c r="F58" s="14">
        <f t="shared" si="5"/>
        <v>413</v>
      </c>
      <c r="G58" s="19">
        <f t="shared" si="6"/>
        <v>1536</v>
      </c>
    </row>
    <row r="59">
      <c r="A59" s="12">
        <v>5.0</v>
      </c>
      <c r="B59" s="12" t="s">
        <v>72</v>
      </c>
      <c r="C59" s="13" t="s">
        <v>73</v>
      </c>
      <c r="D59" s="14">
        <v>413.0</v>
      </c>
      <c r="E59" s="16"/>
      <c r="F59" s="14">
        <f t="shared" si="5"/>
        <v>413</v>
      </c>
      <c r="G59" s="19">
        <f t="shared" si="6"/>
        <v>1949</v>
      </c>
    </row>
    <row r="60">
      <c r="A60" s="12">
        <v>6.0</v>
      </c>
      <c r="B60" s="12" t="s">
        <v>72</v>
      </c>
      <c r="C60" s="13" t="s">
        <v>73</v>
      </c>
      <c r="D60" s="14">
        <v>433.0</v>
      </c>
      <c r="E60" s="16"/>
      <c r="F60" s="14">
        <f t="shared" si="5"/>
        <v>433</v>
      </c>
      <c r="G60" s="19">
        <f t="shared" si="6"/>
        <v>2382</v>
      </c>
    </row>
    <row r="61">
      <c r="A61" s="12">
        <v>7.0</v>
      </c>
      <c r="B61" s="12" t="s">
        <v>64</v>
      </c>
      <c r="C61" s="13" t="s">
        <v>66</v>
      </c>
      <c r="D61" s="14">
        <v>455.0</v>
      </c>
      <c r="E61" s="16"/>
      <c r="F61" s="14">
        <f t="shared" si="5"/>
        <v>455</v>
      </c>
      <c r="G61" s="19">
        <f t="shared" si="6"/>
        <v>2837</v>
      </c>
    </row>
    <row r="62">
      <c r="A62" s="12">
        <v>8.0</v>
      </c>
      <c r="B62" s="12" t="s">
        <v>79</v>
      </c>
      <c r="C62" s="13" t="s">
        <v>317</v>
      </c>
      <c r="D62" s="14">
        <v>356.0</v>
      </c>
      <c r="E62" s="16"/>
      <c r="F62" s="14">
        <f t="shared" si="5"/>
        <v>356</v>
      </c>
      <c r="G62" s="19">
        <f t="shared" si="6"/>
        <v>3193</v>
      </c>
    </row>
    <row r="63">
      <c r="A63" s="12">
        <v>9.0</v>
      </c>
      <c r="B63" s="12" t="s">
        <v>79</v>
      </c>
      <c r="C63" s="13" t="s">
        <v>317</v>
      </c>
      <c r="D63" s="14">
        <v>374.0</v>
      </c>
      <c r="E63" s="16"/>
      <c r="F63" s="14">
        <f t="shared" si="5"/>
        <v>374</v>
      </c>
      <c r="G63" s="19">
        <f t="shared" si="6"/>
        <v>3567</v>
      </c>
    </row>
    <row r="64">
      <c r="A64" s="12">
        <v>10.0</v>
      </c>
      <c r="B64" s="12" t="s">
        <v>79</v>
      </c>
      <c r="C64" s="13" t="s">
        <v>317</v>
      </c>
      <c r="D64" s="14">
        <v>393.0</v>
      </c>
      <c r="E64" s="16"/>
      <c r="F64" s="14">
        <f t="shared" si="5"/>
        <v>393</v>
      </c>
      <c r="G64" s="19">
        <f t="shared" si="6"/>
        <v>3960</v>
      </c>
    </row>
    <row r="65">
      <c r="A65" s="12">
        <v>11.0</v>
      </c>
      <c r="B65" s="12" t="s">
        <v>79</v>
      </c>
      <c r="C65" s="13" t="s">
        <v>317</v>
      </c>
      <c r="D65" s="14">
        <v>413.0</v>
      </c>
      <c r="E65" s="16"/>
      <c r="F65" s="14">
        <f t="shared" si="5"/>
        <v>413</v>
      </c>
      <c r="G65" s="19">
        <f t="shared" si="6"/>
        <v>4373</v>
      </c>
    </row>
    <row r="66">
      <c r="A66" s="12">
        <v>12.0</v>
      </c>
      <c r="B66" s="12" t="s">
        <v>79</v>
      </c>
      <c r="C66" s="13" t="s">
        <v>317</v>
      </c>
      <c r="D66" s="14">
        <v>413.0</v>
      </c>
      <c r="E66" s="16"/>
      <c r="F66" s="14">
        <f t="shared" si="5"/>
        <v>413</v>
      </c>
      <c r="G66" s="19">
        <f t="shared" si="6"/>
        <v>4786</v>
      </c>
    </row>
    <row r="67">
      <c r="A67" s="12">
        <v>13.0</v>
      </c>
      <c r="B67" s="12" t="s">
        <v>79</v>
      </c>
      <c r="C67" s="13" t="s">
        <v>317</v>
      </c>
      <c r="D67" s="14">
        <v>433.0</v>
      </c>
      <c r="E67" s="16"/>
      <c r="F67" s="14">
        <f t="shared" si="5"/>
        <v>433</v>
      </c>
      <c r="G67" s="19">
        <f t="shared" si="6"/>
        <v>5219</v>
      </c>
    </row>
    <row r="68">
      <c r="A68" s="12">
        <v>14.0</v>
      </c>
      <c r="B68" s="12" t="s">
        <v>83</v>
      </c>
      <c r="C68" s="13" t="s">
        <v>84</v>
      </c>
      <c r="D68" s="14">
        <v>737.0</v>
      </c>
      <c r="E68" s="14">
        <v>774.0</v>
      </c>
      <c r="F68" s="14">
        <f t="shared" si="5"/>
        <v>1511</v>
      </c>
      <c r="G68" s="19">
        <f t="shared" si="6"/>
        <v>6730</v>
      </c>
    </row>
    <row r="69">
      <c r="A69" s="12">
        <v>15.0</v>
      </c>
      <c r="B69" s="12" t="s">
        <v>67</v>
      </c>
      <c r="C69" s="13" t="s">
        <v>68</v>
      </c>
      <c r="D69" s="14">
        <v>356.0</v>
      </c>
      <c r="E69" s="16"/>
      <c r="F69" s="14">
        <f t="shared" si="5"/>
        <v>356</v>
      </c>
      <c r="G69" s="19">
        <f t="shared" si="6"/>
        <v>7086</v>
      </c>
    </row>
    <row r="70">
      <c r="A70" s="12">
        <v>16.0</v>
      </c>
      <c r="B70" s="12" t="s">
        <v>67</v>
      </c>
      <c r="C70" s="13" t="s">
        <v>68</v>
      </c>
      <c r="D70" s="14">
        <v>374.0</v>
      </c>
      <c r="E70" s="16"/>
      <c r="F70" s="14">
        <f t="shared" si="5"/>
        <v>374</v>
      </c>
      <c r="G70" s="19">
        <f t="shared" si="6"/>
        <v>7460</v>
      </c>
    </row>
    <row r="71">
      <c r="A71" s="12">
        <v>17.0</v>
      </c>
      <c r="B71" s="12" t="s">
        <v>67</v>
      </c>
      <c r="C71" s="13" t="s">
        <v>68</v>
      </c>
      <c r="D71" s="14">
        <v>393.0</v>
      </c>
      <c r="E71" s="16"/>
      <c r="F71" s="14">
        <f t="shared" si="5"/>
        <v>393</v>
      </c>
      <c r="G71" s="19">
        <f t="shared" si="6"/>
        <v>7853</v>
      </c>
    </row>
    <row r="72">
      <c r="A72" s="12">
        <v>18.0</v>
      </c>
      <c r="B72" s="12" t="s">
        <v>67</v>
      </c>
      <c r="C72" s="13" t="s">
        <v>68</v>
      </c>
      <c r="D72" s="14">
        <v>413.0</v>
      </c>
      <c r="E72" s="16"/>
      <c r="F72" s="14">
        <f t="shared" si="5"/>
        <v>413</v>
      </c>
      <c r="G72" s="19">
        <f t="shared" si="6"/>
        <v>8266</v>
      </c>
    </row>
    <row r="73">
      <c r="A73" s="12">
        <v>19.0</v>
      </c>
      <c r="B73" s="12" t="s">
        <v>306</v>
      </c>
      <c r="C73" s="13" t="s">
        <v>71</v>
      </c>
      <c r="D73" s="14">
        <v>737.0</v>
      </c>
      <c r="E73" s="14">
        <v>774.0</v>
      </c>
      <c r="F73" s="14">
        <f t="shared" si="5"/>
        <v>1511</v>
      </c>
      <c r="G73" s="19">
        <f t="shared" si="6"/>
        <v>9777</v>
      </c>
    </row>
    <row r="74">
      <c r="A74" s="12">
        <v>20.0</v>
      </c>
      <c r="B74" s="12" t="s">
        <v>67</v>
      </c>
      <c r="C74" s="13" t="s">
        <v>68</v>
      </c>
      <c r="D74" s="14">
        <v>413.0</v>
      </c>
      <c r="E74" s="16"/>
      <c r="F74" s="14">
        <f t="shared" si="5"/>
        <v>413</v>
      </c>
      <c r="G74" s="19">
        <f t="shared" si="6"/>
        <v>10190</v>
      </c>
    </row>
    <row r="75">
      <c r="A75" s="12">
        <v>21.0</v>
      </c>
      <c r="B75" s="12" t="s">
        <v>67</v>
      </c>
      <c r="C75" s="13" t="s">
        <v>68</v>
      </c>
      <c r="D75" s="14">
        <v>433.0</v>
      </c>
      <c r="E75" s="16"/>
      <c r="F75" s="14">
        <f t="shared" si="5"/>
        <v>433</v>
      </c>
      <c r="G75" s="19">
        <f t="shared" si="6"/>
        <v>10623</v>
      </c>
    </row>
    <row r="76">
      <c r="A76" s="12">
        <v>22.0</v>
      </c>
      <c r="B76" s="12" t="s">
        <v>60</v>
      </c>
      <c r="C76" s="13" t="s">
        <v>61</v>
      </c>
      <c r="D76" s="14">
        <v>356.0</v>
      </c>
      <c r="E76" s="16"/>
      <c r="F76" s="14">
        <f t="shared" si="5"/>
        <v>356</v>
      </c>
      <c r="G76" s="19">
        <f t="shared" si="6"/>
        <v>10979</v>
      </c>
    </row>
    <row r="77">
      <c r="A77" s="12">
        <v>23.0</v>
      </c>
      <c r="B77" s="12" t="s">
        <v>60</v>
      </c>
      <c r="C77" s="13" t="s">
        <v>61</v>
      </c>
      <c r="D77" s="14">
        <v>374.0</v>
      </c>
      <c r="E77" s="16"/>
      <c r="F77" s="14">
        <f t="shared" si="5"/>
        <v>374</v>
      </c>
      <c r="G77" s="19">
        <f t="shared" si="6"/>
        <v>11353</v>
      </c>
    </row>
    <row r="78">
      <c r="A78" s="12">
        <v>24.0</v>
      </c>
      <c r="B78" s="12" t="s">
        <v>60</v>
      </c>
      <c r="C78" s="13" t="s">
        <v>61</v>
      </c>
      <c r="D78" s="14">
        <v>393.0</v>
      </c>
      <c r="E78" s="16"/>
      <c r="F78" s="14">
        <f t="shared" si="5"/>
        <v>393</v>
      </c>
      <c r="G78" s="19">
        <f t="shared" si="6"/>
        <v>11746</v>
      </c>
    </row>
    <row r="79">
      <c r="A79" s="12">
        <v>25.0</v>
      </c>
      <c r="B79" s="12" t="s">
        <v>60</v>
      </c>
      <c r="C79" s="13" t="s">
        <v>61</v>
      </c>
      <c r="D79" s="14">
        <v>413.0</v>
      </c>
      <c r="E79" s="16"/>
      <c r="F79" s="14">
        <f t="shared" si="5"/>
        <v>413</v>
      </c>
      <c r="G79" s="19">
        <f t="shared" si="6"/>
        <v>12159</v>
      </c>
    </row>
    <row r="80">
      <c r="A80" s="12">
        <v>26.0</v>
      </c>
      <c r="B80" s="12" t="s">
        <v>60</v>
      </c>
      <c r="C80" s="13" t="s">
        <v>61</v>
      </c>
      <c r="D80" s="14">
        <v>413.0</v>
      </c>
      <c r="E80" s="16"/>
      <c r="F80" s="14">
        <f t="shared" si="5"/>
        <v>413</v>
      </c>
      <c r="G80" s="19">
        <f t="shared" si="6"/>
        <v>12572</v>
      </c>
    </row>
    <row r="81">
      <c r="A81" s="12">
        <v>27.0</v>
      </c>
      <c r="B81" s="12" t="s">
        <v>60</v>
      </c>
      <c r="C81" s="13" t="s">
        <v>61</v>
      </c>
      <c r="D81" s="14">
        <v>433.0</v>
      </c>
      <c r="E81" s="16"/>
      <c r="F81" s="14">
        <f t="shared" si="5"/>
        <v>433</v>
      </c>
      <c r="G81" s="19">
        <f t="shared" si="6"/>
        <v>13005</v>
      </c>
    </row>
    <row r="82">
      <c r="A82" s="12">
        <v>28.0</v>
      </c>
      <c r="B82" s="12" t="s">
        <v>75</v>
      </c>
      <c r="C82" s="13" t="s">
        <v>76</v>
      </c>
      <c r="D82" s="14">
        <v>455.0</v>
      </c>
      <c r="E82" s="16"/>
      <c r="F82" s="14">
        <f t="shared" si="5"/>
        <v>455</v>
      </c>
      <c r="G82" s="19">
        <f t="shared" si="6"/>
        <v>13460</v>
      </c>
    </row>
    <row r="83">
      <c r="A83" s="12">
        <v>29.0</v>
      </c>
      <c r="B83" s="12" t="s">
        <v>324</v>
      </c>
      <c r="C83" s="23" t="s">
        <v>325</v>
      </c>
      <c r="D83" s="14">
        <v>2049.0</v>
      </c>
      <c r="E83" s="16"/>
      <c r="F83" s="14">
        <f t="shared" si="5"/>
        <v>2049</v>
      </c>
      <c r="G83" s="19">
        <f t="shared" si="6"/>
        <v>15509</v>
      </c>
    </row>
    <row r="84">
      <c r="A84" s="24"/>
      <c r="B84" s="24"/>
      <c r="C84" s="26"/>
      <c r="D84" s="27">
        <v>31.0</v>
      </c>
      <c r="E84" s="28"/>
      <c r="F84" s="27">
        <f>SUM(F55:F83)</f>
        <v>15509</v>
      </c>
      <c r="G84" s="29">
        <f>G83</f>
        <v>15509</v>
      </c>
    </row>
    <row r="85">
      <c r="C85" s="30"/>
      <c r="G85" s="30"/>
    </row>
    <row r="86">
      <c r="A86" s="4" t="s">
        <v>309</v>
      </c>
      <c r="B86" s="5"/>
      <c r="C86" s="5"/>
      <c r="D86" s="5"/>
      <c r="E86" s="5"/>
      <c r="F86" s="5"/>
      <c r="G86" s="6"/>
    </row>
    <row r="87">
      <c r="A87" s="7"/>
      <c r="B87" s="8"/>
      <c r="C87" s="8"/>
      <c r="D87" s="8"/>
      <c r="E87" s="8"/>
      <c r="F87" s="8"/>
      <c r="G87" s="9"/>
    </row>
    <row r="88">
      <c r="A88" s="10"/>
      <c r="B88" s="10" t="s">
        <v>6</v>
      </c>
      <c r="C88" s="11" t="s">
        <v>7</v>
      </c>
      <c r="D88" s="10" t="s">
        <v>8</v>
      </c>
      <c r="E88" s="10" t="s">
        <v>9</v>
      </c>
      <c r="F88" s="10" t="s">
        <v>10</v>
      </c>
      <c r="G88" s="11" t="s">
        <v>11</v>
      </c>
    </row>
    <row r="89">
      <c r="A89" s="12">
        <v>1.0</v>
      </c>
      <c r="B89" s="12" t="s">
        <v>106</v>
      </c>
      <c r="C89" s="13" t="s">
        <v>107</v>
      </c>
      <c r="D89" s="14">
        <v>431.0</v>
      </c>
      <c r="E89" s="16"/>
      <c r="F89" s="14">
        <f t="shared" ref="F89:F122" si="7">SUM(D89:E89)</f>
        <v>431</v>
      </c>
      <c r="G89" s="19">
        <f>F89</f>
        <v>431</v>
      </c>
    </row>
    <row r="90">
      <c r="A90" s="12">
        <v>2.0</v>
      </c>
      <c r="B90" s="12" t="s">
        <v>106</v>
      </c>
      <c r="C90" s="13" t="s">
        <v>107</v>
      </c>
      <c r="D90" s="14">
        <v>453.0</v>
      </c>
      <c r="E90" s="16"/>
      <c r="F90" s="14">
        <f t="shared" si="7"/>
        <v>453</v>
      </c>
      <c r="G90" s="19">
        <f t="shared" ref="G90:G122" si="8">G89+F90</f>
        <v>884</v>
      </c>
    </row>
    <row r="91">
      <c r="A91" s="12">
        <v>3.0</v>
      </c>
      <c r="B91" s="12" t="s">
        <v>106</v>
      </c>
      <c r="C91" s="13" t="s">
        <v>107</v>
      </c>
      <c r="D91" s="14">
        <v>476.0</v>
      </c>
      <c r="E91" s="16"/>
      <c r="F91" s="14">
        <f t="shared" si="7"/>
        <v>476</v>
      </c>
      <c r="G91" s="19">
        <f t="shared" si="8"/>
        <v>1360</v>
      </c>
    </row>
    <row r="92">
      <c r="A92" s="12">
        <v>4.0</v>
      </c>
      <c r="B92" s="12" t="s">
        <v>106</v>
      </c>
      <c r="C92" s="13" t="s">
        <v>107</v>
      </c>
      <c r="D92" s="14">
        <v>500.0</v>
      </c>
      <c r="E92" s="16"/>
      <c r="F92" s="14">
        <f t="shared" si="7"/>
        <v>500</v>
      </c>
      <c r="G92" s="19">
        <f t="shared" si="8"/>
        <v>1860</v>
      </c>
    </row>
    <row r="93">
      <c r="A93" s="12">
        <v>5.0</v>
      </c>
      <c r="B93" s="12" t="s">
        <v>106</v>
      </c>
      <c r="C93" s="13" t="s">
        <v>107</v>
      </c>
      <c r="D93" s="14">
        <v>525.0</v>
      </c>
      <c r="E93" s="16"/>
      <c r="F93" s="14">
        <f t="shared" si="7"/>
        <v>525</v>
      </c>
      <c r="G93" s="19">
        <f t="shared" si="8"/>
        <v>2385</v>
      </c>
    </row>
    <row r="94">
      <c r="A94" s="12">
        <v>6.0</v>
      </c>
      <c r="B94" s="12" t="s">
        <v>104</v>
      </c>
      <c r="C94" s="13" t="s">
        <v>105</v>
      </c>
      <c r="D94" s="14">
        <v>551.0</v>
      </c>
      <c r="E94" s="16"/>
      <c r="F94" s="14">
        <f t="shared" si="7"/>
        <v>551</v>
      </c>
      <c r="G94" s="19">
        <f t="shared" si="8"/>
        <v>2936</v>
      </c>
    </row>
    <row r="95">
      <c r="A95" s="12">
        <v>7.0</v>
      </c>
      <c r="B95" s="12" t="s">
        <v>104</v>
      </c>
      <c r="C95" s="13" t="s">
        <v>105</v>
      </c>
      <c r="D95" s="14">
        <v>578.0</v>
      </c>
      <c r="E95" s="16"/>
      <c r="F95" s="14">
        <f t="shared" si="7"/>
        <v>578</v>
      </c>
      <c r="G95" s="19">
        <f t="shared" si="8"/>
        <v>3514</v>
      </c>
    </row>
    <row r="96">
      <c r="A96" s="12">
        <v>8.0</v>
      </c>
      <c r="B96" s="12" t="s">
        <v>104</v>
      </c>
      <c r="C96" s="13" t="s">
        <v>105</v>
      </c>
      <c r="D96" s="14">
        <v>607.0</v>
      </c>
      <c r="E96" s="16"/>
      <c r="F96" s="14">
        <f t="shared" si="7"/>
        <v>607</v>
      </c>
      <c r="G96" s="19">
        <f t="shared" si="8"/>
        <v>4121</v>
      </c>
    </row>
    <row r="97">
      <c r="A97" s="12">
        <v>9.0</v>
      </c>
      <c r="B97" s="12" t="s">
        <v>104</v>
      </c>
      <c r="C97" s="13" t="s">
        <v>105</v>
      </c>
      <c r="D97" s="14">
        <v>431.0</v>
      </c>
      <c r="E97" s="16"/>
      <c r="F97" s="14">
        <f t="shared" si="7"/>
        <v>431</v>
      </c>
      <c r="G97" s="19">
        <f t="shared" si="8"/>
        <v>4552</v>
      </c>
    </row>
    <row r="98">
      <c r="A98" s="12">
        <v>10.0</v>
      </c>
      <c r="B98" s="12" t="s">
        <v>104</v>
      </c>
      <c r="C98" s="13" t="s">
        <v>105</v>
      </c>
      <c r="D98" s="14">
        <v>453.0</v>
      </c>
      <c r="E98" s="16"/>
      <c r="F98" s="14">
        <f t="shared" si="7"/>
        <v>453</v>
      </c>
      <c r="G98" s="19">
        <f t="shared" si="8"/>
        <v>5005</v>
      </c>
    </row>
    <row r="99">
      <c r="A99" s="12">
        <v>11.0</v>
      </c>
      <c r="B99" s="12" t="s">
        <v>160</v>
      </c>
      <c r="C99" s="13" t="s">
        <v>204</v>
      </c>
      <c r="D99" s="14">
        <v>476.0</v>
      </c>
      <c r="E99" s="16"/>
      <c r="F99" s="14">
        <f t="shared" si="7"/>
        <v>476</v>
      </c>
      <c r="G99" s="19">
        <f t="shared" si="8"/>
        <v>5481</v>
      </c>
    </row>
    <row r="100">
      <c r="A100" s="12">
        <v>12.0</v>
      </c>
      <c r="B100" s="12" t="s">
        <v>93</v>
      </c>
      <c r="C100" s="13" t="s">
        <v>94</v>
      </c>
      <c r="D100" s="14">
        <v>431.0</v>
      </c>
      <c r="E100" s="16"/>
      <c r="F100" s="14">
        <f t="shared" si="7"/>
        <v>431</v>
      </c>
      <c r="G100" s="19">
        <f t="shared" si="8"/>
        <v>5912</v>
      </c>
    </row>
    <row r="101">
      <c r="A101" s="12">
        <v>13.0</v>
      </c>
      <c r="B101" s="12" t="s">
        <v>93</v>
      </c>
      <c r="C101" s="13" t="s">
        <v>94</v>
      </c>
      <c r="D101" s="14">
        <v>453.0</v>
      </c>
      <c r="E101" s="16"/>
      <c r="F101" s="14">
        <f t="shared" si="7"/>
        <v>453</v>
      </c>
      <c r="G101" s="19">
        <f t="shared" si="8"/>
        <v>6365</v>
      </c>
    </row>
    <row r="102">
      <c r="A102" s="12">
        <v>14.0</v>
      </c>
      <c r="B102" s="12" t="s">
        <v>93</v>
      </c>
      <c r="C102" s="13" t="s">
        <v>94</v>
      </c>
      <c r="D102" s="14">
        <v>476.0</v>
      </c>
      <c r="E102" s="16"/>
      <c r="F102" s="14">
        <f t="shared" si="7"/>
        <v>476</v>
      </c>
      <c r="G102" s="19">
        <f t="shared" si="8"/>
        <v>6841</v>
      </c>
    </row>
    <row r="103">
      <c r="A103" s="12">
        <v>15.0</v>
      </c>
      <c r="B103" s="12" t="s">
        <v>93</v>
      </c>
      <c r="C103" s="13" t="s">
        <v>94</v>
      </c>
      <c r="D103" s="14">
        <v>500.0</v>
      </c>
      <c r="E103" s="16"/>
      <c r="F103" s="14">
        <f t="shared" si="7"/>
        <v>500</v>
      </c>
      <c r="G103" s="19">
        <f t="shared" si="8"/>
        <v>7341</v>
      </c>
    </row>
    <row r="104">
      <c r="A104" s="12">
        <v>16.0</v>
      </c>
      <c r="B104" s="12" t="s">
        <v>93</v>
      </c>
      <c r="C104" s="13" t="s">
        <v>94</v>
      </c>
      <c r="D104" s="14">
        <v>525.0</v>
      </c>
      <c r="E104" s="16"/>
      <c r="F104" s="14">
        <f t="shared" si="7"/>
        <v>525</v>
      </c>
      <c r="G104" s="19">
        <f t="shared" si="8"/>
        <v>7866</v>
      </c>
    </row>
    <row r="105">
      <c r="A105" s="12">
        <v>17.0</v>
      </c>
      <c r="B105" s="12" t="s">
        <v>99</v>
      </c>
      <c r="C105" s="13" t="s">
        <v>100</v>
      </c>
      <c r="D105" s="14">
        <v>431.0</v>
      </c>
      <c r="E105" s="16"/>
      <c r="F105" s="14">
        <f t="shared" si="7"/>
        <v>431</v>
      </c>
      <c r="G105" s="19">
        <f t="shared" si="8"/>
        <v>8297</v>
      </c>
    </row>
    <row r="106">
      <c r="A106" s="12">
        <v>18.0</v>
      </c>
      <c r="B106" s="12" t="s">
        <v>99</v>
      </c>
      <c r="C106" s="13" t="s">
        <v>100</v>
      </c>
      <c r="D106" s="14">
        <v>453.0</v>
      </c>
      <c r="E106" s="16"/>
      <c r="F106" s="14">
        <f t="shared" si="7"/>
        <v>453</v>
      </c>
      <c r="G106" s="19">
        <f t="shared" si="8"/>
        <v>8750</v>
      </c>
    </row>
    <row r="107">
      <c r="A107" s="12">
        <v>19.0</v>
      </c>
      <c r="B107" s="12" t="s">
        <v>99</v>
      </c>
      <c r="C107" s="13" t="s">
        <v>100</v>
      </c>
      <c r="D107" s="14">
        <v>476.0</v>
      </c>
      <c r="E107" s="16"/>
      <c r="F107" s="14">
        <f t="shared" si="7"/>
        <v>476</v>
      </c>
      <c r="G107" s="19">
        <f t="shared" si="8"/>
        <v>9226</v>
      </c>
    </row>
    <row r="108">
      <c r="A108" s="12">
        <v>20.0</v>
      </c>
      <c r="B108" s="12" t="s">
        <v>99</v>
      </c>
      <c r="C108" s="13" t="s">
        <v>100</v>
      </c>
      <c r="D108" s="14">
        <v>500.0</v>
      </c>
      <c r="E108" s="16"/>
      <c r="F108" s="14">
        <f t="shared" si="7"/>
        <v>500</v>
      </c>
      <c r="G108" s="19">
        <f t="shared" si="8"/>
        <v>9726</v>
      </c>
    </row>
    <row r="109">
      <c r="A109" s="12">
        <v>21.0</v>
      </c>
      <c r="B109" s="12" t="s">
        <v>99</v>
      </c>
      <c r="C109" s="13" t="s">
        <v>100</v>
      </c>
      <c r="D109" s="14">
        <v>525.0</v>
      </c>
      <c r="E109" s="16"/>
      <c r="F109" s="14">
        <f t="shared" si="7"/>
        <v>525</v>
      </c>
      <c r="G109" s="19">
        <f t="shared" si="8"/>
        <v>10251</v>
      </c>
    </row>
    <row r="110">
      <c r="A110" s="12">
        <v>22.0</v>
      </c>
      <c r="B110" s="12" t="s">
        <v>22</v>
      </c>
      <c r="C110" s="13" t="s">
        <v>115</v>
      </c>
      <c r="D110" s="14">
        <v>937.0</v>
      </c>
      <c r="E110" s="14">
        <v>984.0</v>
      </c>
      <c r="F110" s="14">
        <f t="shared" si="7"/>
        <v>1921</v>
      </c>
      <c r="G110" s="19">
        <f t="shared" si="8"/>
        <v>12172</v>
      </c>
    </row>
    <row r="111">
      <c r="A111" s="12">
        <v>23.0</v>
      </c>
      <c r="B111" s="12" t="s">
        <v>51</v>
      </c>
      <c r="C111" s="13" t="s">
        <v>52</v>
      </c>
      <c r="D111" s="14">
        <v>431.0</v>
      </c>
      <c r="E111" s="16"/>
      <c r="F111" s="14">
        <f t="shared" si="7"/>
        <v>431</v>
      </c>
      <c r="G111" s="19">
        <f t="shared" si="8"/>
        <v>12603</v>
      </c>
    </row>
    <row r="112">
      <c r="A112" s="12">
        <v>24.0</v>
      </c>
      <c r="B112" s="12" t="s">
        <v>51</v>
      </c>
      <c r="C112" s="13" t="s">
        <v>52</v>
      </c>
      <c r="D112" s="14">
        <v>453.0</v>
      </c>
      <c r="E112" s="16"/>
      <c r="F112" s="14">
        <f t="shared" si="7"/>
        <v>453</v>
      </c>
      <c r="G112" s="19">
        <f t="shared" si="8"/>
        <v>13056</v>
      </c>
    </row>
    <row r="113">
      <c r="A113" s="12">
        <v>25.0</v>
      </c>
      <c r="B113" s="12" t="s">
        <v>47</v>
      </c>
      <c r="C113" s="13" t="s">
        <v>48</v>
      </c>
      <c r="D113" s="14">
        <v>431.0</v>
      </c>
      <c r="E113" s="16"/>
      <c r="F113" s="14">
        <f t="shared" si="7"/>
        <v>431</v>
      </c>
      <c r="G113" s="19">
        <f t="shared" si="8"/>
        <v>13487</v>
      </c>
    </row>
    <row r="114">
      <c r="A114" s="12">
        <v>26.0</v>
      </c>
      <c r="B114" s="12" t="s">
        <v>47</v>
      </c>
      <c r="C114" s="13" t="s">
        <v>48</v>
      </c>
      <c r="D114" s="14">
        <v>453.0</v>
      </c>
      <c r="E114" s="16"/>
      <c r="F114" s="14">
        <f t="shared" si="7"/>
        <v>453</v>
      </c>
      <c r="G114" s="19">
        <f t="shared" si="8"/>
        <v>13940</v>
      </c>
    </row>
    <row r="115">
      <c r="A115" s="12">
        <v>27.0</v>
      </c>
      <c r="B115" s="12" t="s">
        <v>47</v>
      </c>
      <c r="C115" s="13" t="s">
        <v>48</v>
      </c>
      <c r="D115" s="14">
        <v>476.0</v>
      </c>
      <c r="E115" s="16"/>
      <c r="F115" s="14">
        <f t="shared" si="7"/>
        <v>476</v>
      </c>
      <c r="G115" s="19">
        <f t="shared" si="8"/>
        <v>14416</v>
      </c>
    </row>
    <row r="116">
      <c r="A116" s="12">
        <v>28.0</v>
      </c>
      <c r="B116" s="12" t="s">
        <v>47</v>
      </c>
      <c r="C116" s="13" t="s">
        <v>48</v>
      </c>
      <c r="D116" s="14">
        <v>500.0</v>
      </c>
      <c r="E116" s="16"/>
      <c r="F116" s="14">
        <f t="shared" si="7"/>
        <v>500</v>
      </c>
      <c r="G116" s="19">
        <f t="shared" si="8"/>
        <v>14916</v>
      </c>
    </row>
    <row r="117">
      <c r="A117" s="12">
        <v>29.0</v>
      </c>
      <c r="B117" s="12" t="s">
        <v>47</v>
      </c>
      <c r="C117" s="13" t="s">
        <v>48</v>
      </c>
      <c r="D117" s="14">
        <v>525.0</v>
      </c>
      <c r="E117" s="16"/>
      <c r="F117" s="14">
        <f t="shared" si="7"/>
        <v>525</v>
      </c>
      <c r="G117" s="19">
        <f t="shared" si="8"/>
        <v>15441</v>
      </c>
    </row>
    <row r="118">
      <c r="A118" s="12">
        <v>30.0</v>
      </c>
      <c r="B118" s="12" t="s">
        <v>51</v>
      </c>
      <c r="C118" s="13" t="s">
        <v>52</v>
      </c>
      <c r="D118" s="14">
        <v>551.0</v>
      </c>
      <c r="E118" s="16"/>
      <c r="F118" s="14">
        <f t="shared" si="7"/>
        <v>551</v>
      </c>
      <c r="G118" s="19">
        <f t="shared" si="8"/>
        <v>15992</v>
      </c>
    </row>
    <row r="119">
      <c r="A119" s="12">
        <v>31.0</v>
      </c>
      <c r="B119" s="12" t="s">
        <v>51</v>
      </c>
      <c r="C119" s="13" t="s">
        <v>52</v>
      </c>
      <c r="D119" s="14">
        <v>578.0</v>
      </c>
      <c r="E119" s="16"/>
      <c r="F119" s="14">
        <f t="shared" si="7"/>
        <v>578</v>
      </c>
      <c r="G119" s="19">
        <f t="shared" si="8"/>
        <v>16570</v>
      </c>
    </row>
    <row r="120">
      <c r="A120" s="12">
        <v>32.0</v>
      </c>
      <c r="B120" s="12" t="s">
        <v>51</v>
      </c>
      <c r="C120" s="13" t="s">
        <v>52</v>
      </c>
      <c r="D120" s="14">
        <v>607.0</v>
      </c>
      <c r="E120" s="16"/>
      <c r="F120" s="14">
        <f t="shared" si="7"/>
        <v>607</v>
      </c>
      <c r="G120" s="19">
        <f t="shared" si="8"/>
        <v>17177</v>
      </c>
    </row>
    <row r="121">
      <c r="A121" s="12">
        <v>33.0</v>
      </c>
      <c r="B121" s="12" t="s">
        <v>157</v>
      </c>
      <c r="C121" s="13" t="s">
        <v>197</v>
      </c>
      <c r="D121" s="14">
        <v>476.0</v>
      </c>
      <c r="E121" s="16"/>
      <c r="F121" s="14">
        <f t="shared" si="7"/>
        <v>476</v>
      </c>
      <c r="G121" s="19">
        <f t="shared" si="8"/>
        <v>17653</v>
      </c>
    </row>
    <row r="122">
      <c r="A122" s="12">
        <v>34.0</v>
      </c>
      <c r="B122" s="12" t="s">
        <v>346</v>
      </c>
      <c r="C122" s="23" t="s">
        <v>347</v>
      </c>
      <c r="D122" s="14">
        <v>2250.0</v>
      </c>
      <c r="E122" s="16"/>
      <c r="F122" s="14">
        <f t="shared" si="7"/>
        <v>2250</v>
      </c>
      <c r="G122" s="19">
        <f t="shared" si="8"/>
        <v>19903</v>
      </c>
    </row>
    <row r="123">
      <c r="A123" s="24"/>
      <c r="B123" s="24"/>
      <c r="C123" s="26"/>
      <c r="D123" s="27">
        <v>35.0</v>
      </c>
      <c r="E123" s="28"/>
      <c r="F123" s="27">
        <f>SUM(F89:F122)</f>
        <v>19903</v>
      </c>
      <c r="G123" s="29">
        <f>G122</f>
        <v>19903</v>
      </c>
    </row>
  </sheetData>
  <mergeCells count="4">
    <mergeCell ref="A1:G2"/>
    <mergeCell ref="A23:G24"/>
    <mergeCell ref="A52:G53"/>
    <mergeCell ref="A86:G87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8.57"/>
    <col customWidth="1" min="3" max="3" width="67.43"/>
    <col customWidth="1" min="4" max="5" width="7.14"/>
    <col customWidth="1" min="6" max="6" width="7.0"/>
    <col customWidth="1" min="7" max="7" width="8.57"/>
  </cols>
  <sheetData>
    <row r="1">
      <c r="A1" s="4" t="s">
        <v>135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12</v>
      </c>
      <c r="C4" s="13" t="s">
        <v>15</v>
      </c>
      <c r="D4" s="14">
        <v>219.0</v>
      </c>
      <c r="E4" s="16"/>
      <c r="F4" s="14">
        <f t="shared" ref="F4:F27" si="1">SUM(D4:E4)</f>
        <v>219</v>
      </c>
      <c r="G4" s="19">
        <f>F4</f>
        <v>219</v>
      </c>
    </row>
    <row r="5">
      <c r="A5" s="12">
        <v>2.0</v>
      </c>
      <c r="B5" s="12" t="s">
        <v>12</v>
      </c>
      <c r="C5" s="13" t="s">
        <v>15</v>
      </c>
      <c r="D5" s="14">
        <v>230.0</v>
      </c>
      <c r="E5" s="16"/>
      <c r="F5" s="14">
        <f t="shared" si="1"/>
        <v>230</v>
      </c>
      <c r="G5" s="19">
        <f t="shared" ref="G5:G27" si="2">G4+F5</f>
        <v>449</v>
      </c>
    </row>
    <row r="6">
      <c r="A6" s="12">
        <v>3.0</v>
      </c>
      <c r="B6" s="12" t="s">
        <v>12</v>
      </c>
      <c r="C6" s="13" t="s">
        <v>15</v>
      </c>
      <c r="D6" s="14">
        <v>241.0</v>
      </c>
      <c r="E6" s="16"/>
      <c r="F6" s="14">
        <f t="shared" si="1"/>
        <v>241</v>
      </c>
      <c r="G6" s="19">
        <f t="shared" si="2"/>
        <v>690</v>
      </c>
    </row>
    <row r="7">
      <c r="A7" s="12">
        <v>4.0</v>
      </c>
      <c r="B7" s="12" t="s">
        <v>12</v>
      </c>
      <c r="C7" s="13" t="s">
        <v>15</v>
      </c>
      <c r="D7" s="14">
        <v>254.0</v>
      </c>
      <c r="E7" s="16"/>
      <c r="F7" s="14">
        <f t="shared" si="1"/>
        <v>254</v>
      </c>
      <c r="G7" s="19">
        <f t="shared" si="2"/>
        <v>944</v>
      </c>
    </row>
    <row r="8">
      <c r="A8" s="12">
        <v>5.0</v>
      </c>
      <c r="B8" s="12" t="s">
        <v>22</v>
      </c>
      <c r="C8" s="13" t="s">
        <v>24</v>
      </c>
      <c r="D8" s="14">
        <v>266.0</v>
      </c>
      <c r="E8" s="16"/>
      <c r="F8" s="14">
        <f t="shared" si="1"/>
        <v>266</v>
      </c>
      <c r="G8" s="19">
        <f t="shared" si="2"/>
        <v>1210</v>
      </c>
    </row>
    <row r="9">
      <c r="A9" s="12">
        <v>6.0</v>
      </c>
      <c r="B9" s="12" t="s">
        <v>28</v>
      </c>
      <c r="C9" s="13" t="s">
        <v>313</v>
      </c>
      <c r="D9" s="14">
        <v>476.0</v>
      </c>
      <c r="E9" s="14">
        <v>499.0</v>
      </c>
      <c r="F9" s="14">
        <f t="shared" si="1"/>
        <v>975</v>
      </c>
      <c r="G9" s="19">
        <f t="shared" si="2"/>
        <v>2185</v>
      </c>
    </row>
    <row r="10">
      <c r="A10" s="12">
        <v>7.0</v>
      </c>
      <c r="B10" s="12" t="s">
        <v>12</v>
      </c>
      <c r="C10" s="13" t="s">
        <v>15</v>
      </c>
      <c r="D10" s="14">
        <v>219.0</v>
      </c>
      <c r="E10" s="16"/>
      <c r="F10" s="14">
        <f t="shared" si="1"/>
        <v>219</v>
      </c>
      <c r="G10" s="19">
        <f t="shared" si="2"/>
        <v>2404</v>
      </c>
    </row>
    <row r="11">
      <c r="A11" s="12">
        <v>8.0</v>
      </c>
      <c r="B11" s="12" t="s">
        <v>12</v>
      </c>
      <c r="C11" s="13" t="s">
        <v>15</v>
      </c>
      <c r="D11" s="14">
        <v>230.0</v>
      </c>
      <c r="E11" s="16"/>
      <c r="F11" s="14">
        <f t="shared" si="1"/>
        <v>230</v>
      </c>
      <c r="G11" s="19">
        <f t="shared" si="2"/>
        <v>2634</v>
      </c>
    </row>
    <row r="12">
      <c r="A12" s="12">
        <v>9.0</v>
      </c>
      <c r="B12" s="12" t="s">
        <v>12</v>
      </c>
      <c r="C12" s="13" t="s">
        <v>15</v>
      </c>
      <c r="D12" s="14">
        <v>241.0</v>
      </c>
      <c r="E12" s="16"/>
      <c r="F12" s="14">
        <f t="shared" si="1"/>
        <v>241</v>
      </c>
      <c r="G12" s="19">
        <f t="shared" si="2"/>
        <v>2875</v>
      </c>
    </row>
    <row r="13">
      <c r="A13" s="12">
        <v>10.0</v>
      </c>
      <c r="B13" s="12" t="s">
        <v>12</v>
      </c>
      <c r="C13" s="13" t="s">
        <v>15</v>
      </c>
      <c r="D13" s="14">
        <v>254.0</v>
      </c>
      <c r="E13" s="16"/>
      <c r="F13" s="14">
        <f t="shared" si="1"/>
        <v>254</v>
      </c>
      <c r="G13" s="19">
        <f t="shared" si="2"/>
        <v>3129</v>
      </c>
    </row>
    <row r="14">
      <c r="A14" s="12">
        <v>11.0</v>
      </c>
      <c r="B14" s="12" t="s">
        <v>12</v>
      </c>
      <c r="C14" s="13" t="s">
        <v>15</v>
      </c>
      <c r="D14" s="14">
        <v>266.0</v>
      </c>
      <c r="E14" s="16"/>
      <c r="F14" s="14">
        <f t="shared" si="1"/>
        <v>266</v>
      </c>
      <c r="G14" s="19">
        <f t="shared" si="2"/>
        <v>3395</v>
      </c>
    </row>
    <row r="15">
      <c r="A15" s="12">
        <v>12.0</v>
      </c>
      <c r="B15" s="12" t="s">
        <v>144</v>
      </c>
      <c r="C15" s="13" t="s">
        <v>145</v>
      </c>
      <c r="D15" s="14">
        <v>476.0</v>
      </c>
      <c r="E15" s="14">
        <v>499.0</v>
      </c>
      <c r="F15" s="14">
        <f t="shared" si="1"/>
        <v>975</v>
      </c>
      <c r="G15" s="19">
        <f t="shared" si="2"/>
        <v>4370</v>
      </c>
    </row>
    <row r="16">
      <c r="A16" s="12">
        <v>13.0</v>
      </c>
      <c r="B16" s="12" t="s">
        <v>25</v>
      </c>
      <c r="C16" s="13" t="s">
        <v>30</v>
      </c>
      <c r="D16" s="14">
        <v>219.0</v>
      </c>
      <c r="E16" s="16"/>
      <c r="F16" s="14">
        <f t="shared" si="1"/>
        <v>219</v>
      </c>
      <c r="G16" s="19">
        <f t="shared" si="2"/>
        <v>4589</v>
      </c>
    </row>
    <row r="17">
      <c r="A17" s="12">
        <v>14.0</v>
      </c>
      <c r="B17" s="12" t="s">
        <v>25</v>
      </c>
      <c r="C17" s="13" t="s">
        <v>30</v>
      </c>
      <c r="D17" s="14">
        <v>230.0</v>
      </c>
      <c r="E17" s="16"/>
      <c r="F17" s="14">
        <f t="shared" si="1"/>
        <v>230</v>
      </c>
      <c r="G17" s="19">
        <f t="shared" si="2"/>
        <v>4819</v>
      </c>
    </row>
    <row r="18">
      <c r="A18" s="12">
        <v>15.0</v>
      </c>
      <c r="B18" s="12" t="s">
        <v>25</v>
      </c>
      <c r="C18" s="13" t="s">
        <v>30</v>
      </c>
      <c r="D18" s="14">
        <v>241.0</v>
      </c>
      <c r="E18" s="16"/>
      <c r="F18" s="14">
        <f t="shared" si="1"/>
        <v>241</v>
      </c>
      <c r="G18" s="19">
        <f t="shared" si="2"/>
        <v>5060</v>
      </c>
    </row>
    <row r="19">
      <c r="A19" s="12">
        <v>16.0</v>
      </c>
      <c r="B19" s="12" t="s">
        <v>25</v>
      </c>
      <c r="C19" s="13" t="s">
        <v>30</v>
      </c>
      <c r="D19" s="14">
        <v>254.0</v>
      </c>
      <c r="E19" s="16"/>
      <c r="F19" s="14">
        <f t="shared" si="1"/>
        <v>254</v>
      </c>
      <c r="G19" s="19">
        <f t="shared" si="2"/>
        <v>5314</v>
      </c>
    </row>
    <row r="20">
      <c r="A20" s="12">
        <v>17.0</v>
      </c>
      <c r="B20" s="12" t="s">
        <v>25</v>
      </c>
      <c r="C20" s="13" t="s">
        <v>30</v>
      </c>
      <c r="D20" s="14">
        <v>266.0</v>
      </c>
      <c r="E20" s="16"/>
      <c r="F20" s="14">
        <f t="shared" si="1"/>
        <v>266</v>
      </c>
      <c r="G20" s="19">
        <f t="shared" si="2"/>
        <v>5580</v>
      </c>
    </row>
    <row r="21">
      <c r="A21" s="12">
        <v>18.0</v>
      </c>
      <c r="B21" s="12" t="s">
        <v>138</v>
      </c>
      <c r="C21" s="13" t="s">
        <v>139</v>
      </c>
      <c r="D21" s="14">
        <v>1260.0</v>
      </c>
      <c r="E21" s="16"/>
      <c r="F21" s="14">
        <f t="shared" si="1"/>
        <v>1260</v>
      </c>
      <c r="G21" s="19">
        <f t="shared" si="2"/>
        <v>6840</v>
      </c>
    </row>
    <row r="22">
      <c r="A22" s="12">
        <v>19.0</v>
      </c>
      <c r="B22" s="12" t="s">
        <v>25</v>
      </c>
      <c r="C22" s="13" t="s">
        <v>30</v>
      </c>
      <c r="D22" s="14">
        <v>219.0</v>
      </c>
      <c r="E22" s="16"/>
      <c r="F22" s="14">
        <f t="shared" si="1"/>
        <v>219</v>
      </c>
      <c r="G22" s="19">
        <f t="shared" si="2"/>
        <v>7059</v>
      </c>
    </row>
    <row r="23">
      <c r="A23" s="12">
        <v>20.0</v>
      </c>
      <c r="B23" s="12" t="s">
        <v>25</v>
      </c>
      <c r="C23" s="13" t="s">
        <v>30</v>
      </c>
      <c r="D23" s="14">
        <v>230.0</v>
      </c>
      <c r="E23" s="16"/>
      <c r="F23" s="14">
        <f t="shared" si="1"/>
        <v>230</v>
      </c>
      <c r="G23" s="19">
        <f t="shared" si="2"/>
        <v>7289</v>
      </c>
    </row>
    <row r="24">
      <c r="A24" s="12">
        <v>21.0</v>
      </c>
      <c r="B24" s="12" t="s">
        <v>25</v>
      </c>
      <c r="C24" s="13" t="s">
        <v>30</v>
      </c>
      <c r="D24" s="14">
        <v>241.0</v>
      </c>
      <c r="E24" s="16"/>
      <c r="F24" s="14">
        <f t="shared" si="1"/>
        <v>241</v>
      </c>
      <c r="G24" s="19">
        <f t="shared" si="2"/>
        <v>7530</v>
      </c>
    </row>
    <row r="25">
      <c r="A25" s="12">
        <v>22.0</v>
      </c>
      <c r="B25" s="12" t="s">
        <v>25</v>
      </c>
      <c r="C25" s="13" t="s">
        <v>30</v>
      </c>
      <c r="D25" s="14">
        <v>254.0</v>
      </c>
      <c r="E25" s="16"/>
      <c r="F25" s="14">
        <f t="shared" si="1"/>
        <v>254</v>
      </c>
      <c r="G25" s="19">
        <f t="shared" si="2"/>
        <v>7784</v>
      </c>
    </row>
    <row r="26">
      <c r="A26" s="12">
        <v>23.0</v>
      </c>
      <c r="B26" s="12" t="s">
        <v>22</v>
      </c>
      <c r="C26" s="13" t="s">
        <v>24</v>
      </c>
      <c r="D26" s="14">
        <v>266.0</v>
      </c>
      <c r="E26" s="16"/>
      <c r="F26" s="14">
        <f t="shared" si="1"/>
        <v>266</v>
      </c>
      <c r="G26" s="19">
        <f t="shared" si="2"/>
        <v>8050</v>
      </c>
    </row>
    <row r="27">
      <c r="A27" s="12">
        <v>24.0</v>
      </c>
      <c r="B27" s="12" t="s">
        <v>28</v>
      </c>
      <c r="C27" s="13" t="s">
        <v>313</v>
      </c>
      <c r="D27" s="14">
        <v>476.0</v>
      </c>
      <c r="E27" s="14">
        <v>499.0</v>
      </c>
      <c r="F27" s="14">
        <f t="shared" si="1"/>
        <v>975</v>
      </c>
      <c r="G27" s="19">
        <f t="shared" si="2"/>
        <v>9025</v>
      </c>
    </row>
    <row r="28">
      <c r="A28" s="24"/>
      <c r="B28" s="24"/>
      <c r="C28" s="26"/>
      <c r="D28" s="27">
        <v>27.0</v>
      </c>
      <c r="E28" s="28"/>
      <c r="F28" s="27">
        <f>SUM(F4:F27)</f>
        <v>9025</v>
      </c>
      <c r="G28" s="29">
        <f>G27</f>
        <v>9025</v>
      </c>
    </row>
    <row r="29">
      <c r="C29" s="30"/>
      <c r="G29" s="30"/>
    </row>
    <row r="30">
      <c r="A30" s="4" t="s">
        <v>316</v>
      </c>
      <c r="B30" s="5"/>
      <c r="C30" s="5"/>
      <c r="D30" s="5"/>
      <c r="E30" s="5"/>
      <c r="F30" s="5"/>
      <c r="G30" s="6"/>
    </row>
    <row r="31">
      <c r="A31" s="7"/>
      <c r="B31" s="8"/>
      <c r="C31" s="8"/>
      <c r="D31" s="8"/>
      <c r="E31" s="8"/>
      <c r="F31" s="8"/>
      <c r="G31" s="9"/>
    </row>
    <row r="32">
      <c r="A32" s="10"/>
      <c r="B32" s="10" t="s">
        <v>6</v>
      </c>
      <c r="C32" s="11" t="s">
        <v>7</v>
      </c>
      <c r="D32" s="10" t="s">
        <v>8</v>
      </c>
      <c r="E32" s="10" t="s">
        <v>9</v>
      </c>
      <c r="F32" s="10" t="s">
        <v>10</v>
      </c>
      <c r="G32" s="11" t="s">
        <v>11</v>
      </c>
    </row>
    <row r="33">
      <c r="A33" s="12">
        <v>1.0</v>
      </c>
      <c r="B33" s="12" t="s">
        <v>151</v>
      </c>
      <c r="C33" s="13" t="s">
        <v>152</v>
      </c>
      <c r="D33" s="14">
        <v>290.0</v>
      </c>
      <c r="E33" s="16"/>
      <c r="F33" s="14">
        <f t="shared" ref="F33:F61" si="3">SUM(D33:E33)</f>
        <v>290</v>
      </c>
      <c r="G33" s="19">
        <f>F33</f>
        <v>290</v>
      </c>
    </row>
    <row r="34">
      <c r="A34" s="12">
        <v>2.0</v>
      </c>
      <c r="B34" s="12" t="s">
        <v>151</v>
      </c>
      <c r="C34" s="13" t="s">
        <v>152</v>
      </c>
      <c r="D34" s="14">
        <v>304.0</v>
      </c>
      <c r="E34" s="16"/>
      <c r="F34" s="14">
        <f t="shared" si="3"/>
        <v>304</v>
      </c>
      <c r="G34" s="19">
        <f t="shared" ref="G34:G61" si="4">G33+F34</f>
        <v>594</v>
      </c>
    </row>
    <row r="35">
      <c r="A35" s="12">
        <v>3.0</v>
      </c>
      <c r="B35" s="12" t="s">
        <v>151</v>
      </c>
      <c r="C35" s="13" t="s">
        <v>152</v>
      </c>
      <c r="D35" s="14">
        <v>320.0</v>
      </c>
      <c r="E35" s="16"/>
      <c r="F35" s="14">
        <f t="shared" si="3"/>
        <v>320</v>
      </c>
      <c r="G35" s="19">
        <f t="shared" si="4"/>
        <v>914</v>
      </c>
    </row>
    <row r="36">
      <c r="A36" s="12">
        <v>4.0</v>
      </c>
      <c r="B36" s="12" t="s">
        <v>93</v>
      </c>
      <c r="C36" s="13" t="s">
        <v>108</v>
      </c>
      <c r="D36" s="14">
        <v>336.0</v>
      </c>
      <c r="E36" s="16"/>
      <c r="F36" s="14">
        <f t="shared" si="3"/>
        <v>336</v>
      </c>
      <c r="G36" s="19">
        <f t="shared" si="4"/>
        <v>1250</v>
      </c>
    </row>
    <row r="37">
      <c r="A37" s="12">
        <v>5.0</v>
      </c>
      <c r="B37" s="12" t="s">
        <v>151</v>
      </c>
      <c r="C37" s="13" t="s">
        <v>152</v>
      </c>
      <c r="D37" s="14">
        <v>352.0</v>
      </c>
      <c r="E37" s="16"/>
      <c r="F37" s="14">
        <f t="shared" si="3"/>
        <v>352</v>
      </c>
      <c r="G37" s="19">
        <f t="shared" si="4"/>
        <v>1602</v>
      </c>
    </row>
    <row r="38">
      <c r="A38" s="12">
        <v>6.0</v>
      </c>
      <c r="B38" s="12" t="s">
        <v>151</v>
      </c>
      <c r="C38" s="13" t="s">
        <v>152</v>
      </c>
      <c r="D38" s="14">
        <v>370.0</v>
      </c>
      <c r="E38" s="16"/>
      <c r="F38" s="14">
        <f t="shared" si="3"/>
        <v>370</v>
      </c>
      <c r="G38" s="19">
        <f t="shared" si="4"/>
        <v>1972</v>
      </c>
    </row>
    <row r="39">
      <c r="A39" s="12">
        <v>7.0</v>
      </c>
      <c r="B39" s="12" t="s">
        <v>93</v>
      </c>
      <c r="C39" s="13" t="s">
        <v>108</v>
      </c>
      <c r="D39" s="14">
        <v>389.0</v>
      </c>
      <c r="E39" s="16"/>
      <c r="F39" s="14">
        <f t="shared" si="3"/>
        <v>389</v>
      </c>
      <c r="G39" s="19">
        <f t="shared" si="4"/>
        <v>2361</v>
      </c>
    </row>
    <row r="40">
      <c r="A40" s="12">
        <v>8.0</v>
      </c>
      <c r="B40" s="12" t="s">
        <v>151</v>
      </c>
      <c r="C40" s="13" t="s">
        <v>152</v>
      </c>
      <c r="D40" s="14">
        <v>408.0</v>
      </c>
      <c r="E40" s="16"/>
      <c r="F40" s="14">
        <f t="shared" si="3"/>
        <v>408</v>
      </c>
      <c r="G40" s="19">
        <f t="shared" si="4"/>
        <v>2769</v>
      </c>
    </row>
    <row r="41">
      <c r="A41" s="12">
        <v>9.0</v>
      </c>
      <c r="B41" s="12" t="s">
        <v>151</v>
      </c>
      <c r="C41" s="13" t="s">
        <v>152</v>
      </c>
      <c r="D41" s="14">
        <v>428.0</v>
      </c>
      <c r="E41" s="16"/>
      <c r="F41" s="14">
        <f t="shared" si="3"/>
        <v>428</v>
      </c>
      <c r="G41" s="19">
        <f t="shared" si="4"/>
        <v>3197</v>
      </c>
    </row>
    <row r="42">
      <c r="A42" s="12">
        <v>10.0</v>
      </c>
      <c r="B42" s="12" t="s">
        <v>157</v>
      </c>
      <c r="C42" s="13" t="s">
        <v>158</v>
      </c>
      <c r="D42" s="14">
        <v>450.0</v>
      </c>
      <c r="E42" s="16"/>
      <c r="F42" s="14">
        <f t="shared" si="3"/>
        <v>450</v>
      </c>
      <c r="G42" s="19">
        <f t="shared" si="4"/>
        <v>3647</v>
      </c>
    </row>
    <row r="43">
      <c r="A43" s="12">
        <v>11.0</v>
      </c>
      <c r="B43" s="12" t="s">
        <v>93</v>
      </c>
      <c r="C43" s="13" t="s">
        <v>108</v>
      </c>
      <c r="D43" s="14">
        <v>472.0</v>
      </c>
      <c r="E43" s="16"/>
      <c r="F43" s="14">
        <f t="shared" si="3"/>
        <v>472</v>
      </c>
      <c r="G43" s="19">
        <f t="shared" si="4"/>
        <v>4119</v>
      </c>
    </row>
    <row r="44">
      <c r="A44" s="12">
        <v>12.0</v>
      </c>
      <c r="B44" s="12" t="s">
        <v>151</v>
      </c>
      <c r="C44" s="13" t="s">
        <v>152</v>
      </c>
      <c r="D44" s="14">
        <v>304.0</v>
      </c>
      <c r="E44" s="16"/>
      <c r="F44" s="14">
        <f t="shared" si="3"/>
        <v>304</v>
      </c>
      <c r="G44" s="19">
        <f t="shared" si="4"/>
        <v>4423</v>
      </c>
    </row>
    <row r="45">
      <c r="A45" s="12">
        <v>13.0</v>
      </c>
      <c r="B45" s="12" t="s">
        <v>157</v>
      </c>
      <c r="C45" s="13" t="s">
        <v>158</v>
      </c>
      <c r="D45" s="14">
        <v>320.0</v>
      </c>
      <c r="E45" s="16"/>
      <c r="F45" s="14">
        <f t="shared" si="3"/>
        <v>320</v>
      </c>
      <c r="G45" s="19">
        <f t="shared" si="4"/>
        <v>4743</v>
      </c>
    </row>
    <row r="46">
      <c r="A46" s="12">
        <v>14.0</v>
      </c>
      <c r="B46" s="12" t="s">
        <v>148</v>
      </c>
      <c r="C46" s="13" t="s">
        <v>149</v>
      </c>
      <c r="D46" s="14">
        <v>290.0</v>
      </c>
      <c r="E46" s="16"/>
      <c r="F46" s="14">
        <f t="shared" si="3"/>
        <v>290</v>
      </c>
      <c r="G46" s="19">
        <f t="shared" si="4"/>
        <v>5033</v>
      </c>
    </row>
    <row r="47">
      <c r="A47" s="12">
        <v>15.0</v>
      </c>
      <c r="B47" s="12" t="s">
        <v>148</v>
      </c>
      <c r="C47" s="13" t="s">
        <v>149</v>
      </c>
      <c r="D47" s="14">
        <v>304.0</v>
      </c>
      <c r="E47" s="16"/>
      <c r="F47" s="14">
        <f t="shared" si="3"/>
        <v>304</v>
      </c>
      <c r="G47" s="19">
        <f t="shared" si="4"/>
        <v>5337</v>
      </c>
    </row>
    <row r="48">
      <c r="A48" s="12">
        <v>16.0</v>
      </c>
      <c r="B48" s="12" t="s">
        <v>160</v>
      </c>
      <c r="C48" s="13" t="s">
        <v>161</v>
      </c>
      <c r="D48" s="14">
        <v>320.0</v>
      </c>
      <c r="E48" s="16"/>
      <c r="F48" s="14">
        <f t="shared" si="3"/>
        <v>320</v>
      </c>
      <c r="G48" s="19">
        <f t="shared" si="4"/>
        <v>5657</v>
      </c>
    </row>
    <row r="49">
      <c r="A49" s="12">
        <v>17.0</v>
      </c>
      <c r="B49" s="12" t="s">
        <v>153</v>
      </c>
      <c r="C49" s="13" t="s">
        <v>154</v>
      </c>
      <c r="D49" s="14">
        <v>571.0</v>
      </c>
      <c r="E49" s="14">
        <v>599.0</v>
      </c>
      <c r="F49" s="14">
        <f t="shared" si="3"/>
        <v>1170</v>
      </c>
      <c r="G49" s="19">
        <f t="shared" si="4"/>
        <v>6827</v>
      </c>
    </row>
    <row r="50">
      <c r="A50" s="12">
        <v>18.0</v>
      </c>
      <c r="B50" s="12" t="s">
        <v>148</v>
      </c>
      <c r="C50" s="13" t="s">
        <v>149</v>
      </c>
      <c r="D50" s="14">
        <v>304.0</v>
      </c>
      <c r="E50" s="16"/>
      <c r="F50" s="14">
        <f t="shared" si="3"/>
        <v>304</v>
      </c>
      <c r="G50" s="19">
        <f t="shared" si="4"/>
        <v>7131</v>
      </c>
    </row>
    <row r="51">
      <c r="A51" s="12">
        <v>19.0</v>
      </c>
      <c r="B51" s="12" t="s">
        <v>148</v>
      </c>
      <c r="C51" s="13" t="s">
        <v>149</v>
      </c>
      <c r="D51" s="14">
        <v>320.0</v>
      </c>
      <c r="E51" s="16"/>
      <c r="F51" s="14">
        <f t="shared" si="3"/>
        <v>320</v>
      </c>
      <c r="G51" s="19">
        <f t="shared" si="4"/>
        <v>7451</v>
      </c>
    </row>
    <row r="52">
      <c r="A52" s="12">
        <v>20.0</v>
      </c>
      <c r="B52" s="12" t="s">
        <v>99</v>
      </c>
      <c r="C52" s="13" t="s">
        <v>114</v>
      </c>
      <c r="D52" s="14">
        <v>336.0</v>
      </c>
      <c r="E52" s="16"/>
      <c r="F52" s="14">
        <f t="shared" si="3"/>
        <v>336</v>
      </c>
      <c r="G52" s="19">
        <f t="shared" si="4"/>
        <v>7787</v>
      </c>
    </row>
    <row r="53">
      <c r="A53" s="12">
        <v>21.0</v>
      </c>
      <c r="B53" s="12" t="s">
        <v>148</v>
      </c>
      <c r="C53" s="13" t="s">
        <v>149</v>
      </c>
      <c r="D53" s="14">
        <v>352.0</v>
      </c>
      <c r="E53" s="16"/>
      <c r="F53" s="14">
        <f t="shared" si="3"/>
        <v>352</v>
      </c>
      <c r="G53" s="19">
        <f t="shared" si="4"/>
        <v>8139</v>
      </c>
    </row>
    <row r="54">
      <c r="A54" s="12">
        <v>22.0</v>
      </c>
      <c r="B54" s="12" t="s">
        <v>148</v>
      </c>
      <c r="C54" s="13" t="s">
        <v>149</v>
      </c>
      <c r="D54" s="14">
        <v>370.0</v>
      </c>
      <c r="E54" s="16"/>
      <c r="F54" s="14">
        <f t="shared" si="3"/>
        <v>370</v>
      </c>
      <c r="G54" s="19">
        <f t="shared" si="4"/>
        <v>8509</v>
      </c>
    </row>
    <row r="55">
      <c r="A55" s="12">
        <v>23.0</v>
      </c>
      <c r="B55" s="12" t="s">
        <v>99</v>
      </c>
      <c r="C55" s="13" t="s">
        <v>114</v>
      </c>
      <c r="D55" s="14">
        <v>389.0</v>
      </c>
      <c r="E55" s="16"/>
      <c r="F55" s="14">
        <f t="shared" si="3"/>
        <v>389</v>
      </c>
      <c r="G55" s="19">
        <f t="shared" si="4"/>
        <v>8898</v>
      </c>
    </row>
    <row r="56">
      <c r="A56" s="12">
        <v>24.0</v>
      </c>
      <c r="B56" s="12" t="s">
        <v>148</v>
      </c>
      <c r="C56" s="13" t="s">
        <v>149</v>
      </c>
      <c r="D56" s="14">
        <v>408.0</v>
      </c>
      <c r="E56" s="16"/>
      <c r="F56" s="14">
        <f t="shared" si="3"/>
        <v>408</v>
      </c>
      <c r="G56" s="19">
        <f t="shared" si="4"/>
        <v>9306</v>
      </c>
    </row>
    <row r="57">
      <c r="A57" s="12">
        <v>25.0</v>
      </c>
      <c r="B57" s="12" t="s">
        <v>153</v>
      </c>
      <c r="C57" s="13" t="s">
        <v>154</v>
      </c>
      <c r="D57" s="14">
        <v>729.0</v>
      </c>
      <c r="E57" s="14">
        <v>765.0</v>
      </c>
      <c r="F57" s="14">
        <f t="shared" si="3"/>
        <v>1494</v>
      </c>
      <c r="G57" s="19">
        <f t="shared" si="4"/>
        <v>10800</v>
      </c>
    </row>
    <row r="58">
      <c r="A58" s="12">
        <v>26.0</v>
      </c>
      <c r="B58" s="12" t="s">
        <v>148</v>
      </c>
      <c r="C58" s="13" t="s">
        <v>149</v>
      </c>
      <c r="D58" s="14">
        <v>428.0</v>
      </c>
      <c r="E58" s="16"/>
      <c r="F58" s="14">
        <f t="shared" si="3"/>
        <v>428</v>
      </c>
      <c r="G58" s="19">
        <f t="shared" si="4"/>
        <v>11228</v>
      </c>
    </row>
    <row r="59">
      <c r="A59" s="12">
        <v>27.0</v>
      </c>
      <c r="B59" s="12" t="s">
        <v>160</v>
      </c>
      <c r="C59" s="13" t="s">
        <v>161</v>
      </c>
      <c r="D59" s="14">
        <v>450.0</v>
      </c>
      <c r="E59" s="16"/>
      <c r="F59" s="14">
        <f t="shared" si="3"/>
        <v>450</v>
      </c>
      <c r="G59" s="19">
        <f t="shared" si="4"/>
        <v>11678</v>
      </c>
    </row>
    <row r="60">
      <c r="A60" s="12">
        <v>28.0</v>
      </c>
      <c r="B60" s="12" t="s">
        <v>99</v>
      </c>
      <c r="C60" s="13" t="s">
        <v>114</v>
      </c>
      <c r="D60" s="14">
        <v>472.0</v>
      </c>
      <c r="E60" s="16"/>
      <c r="F60" s="14">
        <f t="shared" si="3"/>
        <v>472</v>
      </c>
      <c r="G60" s="19">
        <f t="shared" si="4"/>
        <v>12150</v>
      </c>
    </row>
    <row r="61">
      <c r="A61" s="12">
        <v>29.0</v>
      </c>
      <c r="B61" s="12" t="s">
        <v>165</v>
      </c>
      <c r="C61" s="13" t="s">
        <v>166</v>
      </c>
      <c r="D61" s="14">
        <v>2234.0</v>
      </c>
      <c r="E61" s="16"/>
      <c r="F61" s="14">
        <f t="shared" si="3"/>
        <v>2234</v>
      </c>
      <c r="G61" s="19">
        <f t="shared" si="4"/>
        <v>14384</v>
      </c>
    </row>
    <row r="62">
      <c r="A62" s="24"/>
      <c r="B62" s="24"/>
      <c r="C62" s="26"/>
      <c r="D62" s="27">
        <v>31.0</v>
      </c>
      <c r="E62" s="28"/>
      <c r="F62" s="27">
        <f>SUM(F33:F61)</f>
        <v>14384</v>
      </c>
      <c r="G62" s="29">
        <f>G61</f>
        <v>14384</v>
      </c>
    </row>
    <row r="63">
      <c r="C63" s="30"/>
      <c r="G63" s="30"/>
    </row>
    <row r="64">
      <c r="A64" s="4" t="s">
        <v>320</v>
      </c>
      <c r="B64" s="5"/>
      <c r="C64" s="5"/>
      <c r="D64" s="5"/>
      <c r="E64" s="5"/>
      <c r="F64" s="5"/>
      <c r="G64" s="6"/>
    </row>
    <row r="65">
      <c r="A65" s="7"/>
      <c r="B65" s="8"/>
      <c r="C65" s="8"/>
      <c r="D65" s="8"/>
      <c r="E65" s="8"/>
      <c r="F65" s="8"/>
      <c r="G65" s="9"/>
    </row>
    <row r="66">
      <c r="A66" s="10"/>
      <c r="B66" s="10" t="s">
        <v>6</v>
      </c>
      <c r="C66" s="11" t="s">
        <v>7</v>
      </c>
      <c r="D66" s="10" t="s">
        <v>8</v>
      </c>
      <c r="E66" s="10" t="s">
        <v>9</v>
      </c>
      <c r="F66" s="10" t="s">
        <v>10</v>
      </c>
      <c r="G66" s="11" t="s">
        <v>11</v>
      </c>
    </row>
    <row r="67">
      <c r="A67" s="12">
        <v>1.0</v>
      </c>
      <c r="B67" s="12" t="s">
        <v>106</v>
      </c>
      <c r="C67" s="13" t="s">
        <v>122</v>
      </c>
      <c r="D67" s="14">
        <v>418.0</v>
      </c>
      <c r="E67" s="16"/>
      <c r="F67" s="14">
        <f t="shared" ref="F67:F99" si="5">SUM(D67:E67)</f>
        <v>418</v>
      </c>
      <c r="G67" s="19">
        <f>F67</f>
        <v>418</v>
      </c>
    </row>
    <row r="68">
      <c r="A68" s="12">
        <v>2.0</v>
      </c>
      <c r="B68" s="12" t="s">
        <v>67</v>
      </c>
      <c r="C68" s="13" t="s">
        <v>176</v>
      </c>
      <c r="D68" s="14">
        <v>439.0</v>
      </c>
      <c r="E68" s="16"/>
      <c r="F68" s="14">
        <f t="shared" si="5"/>
        <v>439</v>
      </c>
      <c r="G68" s="19">
        <f t="shared" ref="G68:G99" si="6">G67+F68</f>
        <v>857</v>
      </c>
    </row>
    <row r="69">
      <c r="A69" s="12">
        <v>3.0</v>
      </c>
      <c r="B69" s="12" t="s">
        <v>67</v>
      </c>
      <c r="C69" s="13" t="s">
        <v>176</v>
      </c>
      <c r="D69" s="14">
        <v>461.0</v>
      </c>
      <c r="E69" s="16"/>
      <c r="F69" s="14">
        <f t="shared" si="5"/>
        <v>461</v>
      </c>
      <c r="G69" s="19">
        <f t="shared" si="6"/>
        <v>1318</v>
      </c>
    </row>
    <row r="70">
      <c r="A70" s="12">
        <v>4.0</v>
      </c>
      <c r="B70" s="12" t="s">
        <v>173</v>
      </c>
      <c r="C70" s="13" t="s">
        <v>174</v>
      </c>
      <c r="D70" s="14">
        <v>461.0</v>
      </c>
      <c r="E70" s="16"/>
      <c r="F70" s="14">
        <f t="shared" si="5"/>
        <v>461</v>
      </c>
      <c r="G70" s="19">
        <f t="shared" si="6"/>
        <v>1779</v>
      </c>
    </row>
    <row r="71">
      <c r="A71" s="12">
        <v>5.0</v>
      </c>
      <c r="B71" s="12" t="s">
        <v>67</v>
      </c>
      <c r="C71" s="13" t="s">
        <v>176</v>
      </c>
      <c r="D71" s="14">
        <v>439.0</v>
      </c>
      <c r="E71" s="16"/>
      <c r="F71" s="14">
        <f t="shared" si="5"/>
        <v>439</v>
      </c>
      <c r="G71" s="19">
        <f t="shared" si="6"/>
        <v>2218</v>
      </c>
    </row>
    <row r="72">
      <c r="A72" s="12">
        <v>6.0</v>
      </c>
      <c r="B72" s="12" t="s">
        <v>67</v>
      </c>
      <c r="C72" s="13" t="s">
        <v>176</v>
      </c>
      <c r="D72" s="14">
        <v>461.0</v>
      </c>
      <c r="E72" s="16"/>
      <c r="F72" s="14">
        <f t="shared" si="5"/>
        <v>461</v>
      </c>
      <c r="G72" s="19">
        <f t="shared" si="6"/>
        <v>2679</v>
      </c>
    </row>
    <row r="73">
      <c r="A73" s="12">
        <v>7.0</v>
      </c>
      <c r="B73" s="12" t="s">
        <v>173</v>
      </c>
      <c r="C73" s="13" t="s">
        <v>174</v>
      </c>
      <c r="D73" s="14">
        <v>461.0</v>
      </c>
      <c r="E73" s="16"/>
      <c r="F73" s="14">
        <f t="shared" si="5"/>
        <v>461</v>
      </c>
      <c r="G73" s="19">
        <f t="shared" si="6"/>
        <v>3140</v>
      </c>
    </row>
    <row r="74">
      <c r="A74" s="12">
        <v>8.0</v>
      </c>
      <c r="B74" s="12" t="s">
        <v>180</v>
      </c>
      <c r="C74" s="13" t="s">
        <v>181</v>
      </c>
      <c r="D74" s="14">
        <v>823.0</v>
      </c>
      <c r="E74" s="14">
        <v>864.0</v>
      </c>
      <c r="F74" s="14">
        <f t="shared" si="5"/>
        <v>1687</v>
      </c>
      <c r="G74" s="19">
        <f t="shared" si="6"/>
        <v>4827</v>
      </c>
    </row>
    <row r="75">
      <c r="A75" s="12">
        <v>9.0</v>
      </c>
      <c r="B75" s="12" t="s">
        <v>170</v>
      </c>
      <c r="C75" s="13" t="s">
        <v>171</v>
      </c>
      <c r="D75" s="14">
        <v>418.0</v>
      </c>
      <c r="E75" s="16"/>
      <c r="F75" s="14">
        <f t="shared" si="5"/>
        <v>418</v>
      </c>
      <c r="G75" s="19">
        <f t="shared" si="6"/>
        <v>5245</v>
      </c>
    </row>
    <row r="76">
      <c r="A76" s="12">
        <v>10.0</v>
      </c>
      <c r="B76" s="12" t="s">
        <v>170</v>
      </c>
      <c r="C76" s="13" t="s">
        <v>171</v>
      </c>
      <c r="D76" s="14">
        <v>439.0</v>
      </c>
      <c r="E76" s="16"/>
      <c r="F76" s="14">
        <f t="shared" si="5"/>
        <v>439</v>
      </c>
      <c r="G76" s="19">
        <f t="shared" si="6"/>
        <v>5684</v>
      </c>
    </row>
    <row r="77">
      <c r="A77" s="12">
        <v>11.0</v>
      </c>
      <c r="B77" s="12" t="s">
        <v>170</v>
      </c>
      <c r="C77" s="13" t="s">
        <v>171</v>
      </c>
      <c r="D77" s="14">
        <v>461.0</v>
      </c>
      <c r="E77" s="16"/>
      <c r="F77" s="14">
        <f t="shared" si="5"/>
        <v>461</v>
      </c>
      <c r="G77" s="19">
        <f t="shared" si="6"/>
        <v>6145</v>
      </c>
    </row>
    <row r="78">
      <c r="A78" s="12">
        <v>12.0</v>
      </c>
      <c r="B78" s="12" t="s">
        <v>177</v>
      </c>
      <c r="C78" s="13" t="s">
        <v>178</v>
      </c>
      <c r="D78" s="14">
        <v>461.0</v>
      </c>
      <c r="E78" s="16"/>
      <c r="F78" s="14">
        <f t="shared" si="5"/>
        <v>461</v>
      </c>
      <c r="G78" s="19">
        <f t="shared" si="6"/>
        <v>6606</v>
      </c>
    </row>
    <row r="79">
      <c r="A79" s="12">
        <v>13.0</v>
      </c>
      <c r="B79" s="12" t="s">
        <v>170</v>
      </c>
      <c r="C79" s="13" t="s">
        <v>171</v>
      </c>
      <c r="D79" s="14">
        <v>439.0</v>
      </c>
      <c r="E79" s="16"/>
      <c r="F79" s="14">
        <f t="shared" si="5"/>
        <v>439</v>
      </c>
      <c r="G79" s="19">
        <f t="shared" si="6"/>
        <v>7045</v>
      </c>
    </row>
    <row r="80">
      <c r="A80" s="12">
        <v>14.0</v>
      </c>
      <c r="B80" s="12" t="s">
        <v>170</v>
      </c>
      <c r="C80" s="13" t="s">
        <v>171</v>
      </c>
      <c r="D80" s="14">
        <v>461.0</v>
      </c>
      <c r="E80" s="16"/>
      <c r="F80" s="14">
        <f t="shared" si="5"/>
        <v>461</v>
      </c>
      <c r="G80" s="19">
        <f t="shared" si="6"/>
        <v>7506</v>
      </c>
    </row>
    <row r="81">
      <c r="A81" s="12">
        <v>15.0</v>
      </c>
      <c r="B81" s="12" t="s">
        <v>177</v>
      </c>
      <c r="C81" s="13" t="s">
        <v>178</v>
      </c>
      <c r="D81" s="14">
        <v>461.0</v>
      </c>
      <c r="E81" s="16"/>
      <c r="F81" s="14">
        <f t="shared" si="5"/>
        <v>461</v>
      </c>
      <c r="G81" s="19">
        <f t="shared" si="6"/>
        <v>7967</v>
      </c>
    </row>
    <row r="82">
      <c r="A82" s="12">
        <v>16.0</v>
      </c>
      <c r="B82" s="12" t="s">
        <v>104</v>
      </c>
      <c r="C82" s="13" t="s">
        <v>119</v>
      </c>
      <c r="D82" s="14">
        <v>484.0</v>
      </c>
      <c r="E82" s="16"/>
      <c r="F82" s="14">
        <f t="shared" si="5"/>
        <v>484</v>
      </c>
      <c r="G82" s="19">
        <f t="shared" si="6"/>
        <v>8451</v>
      </c>
    </row>
    <row r="83">
      <c r="A83" s="12">
        <v>17.0</v>
      </c>
      <c r="B83" s="12" t="s">
        <v>322</v>
      </c>
      <c r="C83" s="13" t="s">
        <v>323</v>
      </c>
      <c r="D83" s="14">
        <v>2288.0</v>
      </c>
      <c r="E83" s="16"/>
      <c r="F83" s="14">
        <f t="shared" si="5"/>
        <v>2288</v>
      </c>
      <c r="G83" s="19">
        <f t="shared" si="6"/>
        <v>10739</v>
      </c>
    </row>
    <row r="84">
      <c r="A84" s="12">
        <v>18.0</v>
      </c>
      <c r="B84" s="12" t="s">
        <v>104</v>
      </c>
      <c r="C84" s="13" t="s">
        <v>119</v>
      </c>
      <c r="D84" s="14">
        <v>418.0</v>
      </c>
      <c r="E84" s="16"/>
      <c r="F84" s="14">
        <f t="shared" si="5"/>
        <v>418</v>
      </c>
      <c r="G84" s="19">
        <f t="shared" si="6"/>
        <v>11157</v>
      </c>
    </row>
    <row r="85">
      <c r="A85" s="12">
        <v>19.0</v>
      </c>
      <c r="B85" s="12" t="s">
        <v>170</v>
      </c>
      <c r="C85" s="13" t="s">
        <v>171</v>
      </c>
      <c r="D85" s="14">
        <v>439.0</v>
      </c>
      <c r="E85" s="16"/>
      <c r="F85" s="14">
        <f t="shared" si="5"/>
        <v>439</v>
      </c>
      <c r="G85" s="19">
        <f t="shared" si="6"/>
        <v>11596</v>
      </c>
    </row>
    <row r="86">
      <c r="A86" s="12">
        <v>20.0</v>
      </c>
      <c r="B86" s="12" t="s">
        <v>170</v>
      </c>
      <c r="C86" s="13" t="s">
        <v>171</v>
      </c>
      <c r="D86" s="14">
        <v>461.0</v>
      </c>
      <c r="E86" s="16"/>
      <c r="F86" s="14">
        <f t="shared" si="5"/>
        <v>461</v>
      </c>
      <c r="G86" s="19">
        <f t="shared" si="6"/>
        <v>12057</v>
      </c>
    </row>
    <row r="87">
      <c r="A87" s="12">
        <v>21.0</v>
      </c>
      <c r="B87" s="12" t="s">
        <v>177</v>
      </c>
      <c r="C87" s="13" t="s">
        <v>178</v>
      </c>
      <c r="D87" s="14">
        <v>461.0</v>
      </c>
      <c r="E87" s="16"/>
      <c r="F87" s="14">
        <f t="shared" si="5"/>
        <v>461</v>
      </c>
      <c r="G87" s="19">
        <f t="shared" si="6"/>
        <v>12518</v>
      </c>
    </row>
    <row r="88">
      <c r="A88" s="12">
        <v>22.0</v>
      </c>
      <c r="B88" s="12" t="s">
        <v>170</v>
      </c>
      <c r="C88" s="13" t="s">
        <v>171</v>
      </c>
      <c r="D88" s="14">
        <v>439.0</v>
      </c>
      <c r="E88" s="16"/>
      <c r="F88" s="14">
        <f t="shared" si="5"/>
        <v>439</v>
      </c>
      <c r="G88" s="19">
        <f t="shared" si="6"/>
        <v>12957</v>
      </c>
    </row>
    <row r="89">
      <c r="A89" s="12">
        <v>23.0</v>
      </c>
      <c r="B89" s="12" t="s">
        <v>170</v>
      </c>
      <c r="C89" s="13" t="s">
        <v>171</v>
      </c>
      <c r="D89" s="14">
        <v>461.0</v>
      </c>
      <c r="E89" s="16"/>
      <c r="F89" s="14">
        <f t="shared" si="5"/>
        <v>461</v>
      </c>
      <c r="G89" s="19">
        <f t="shared" si="6"/>
        <v>13418</v>
      </c>
    </row>
    <row r="90">
      <c r="A90" s="12">
        <v>24.0</v>
      </c>
      <c r="B90" s="12" t="s">
        <v>177</v>
      </c>
      <c r="C90" s="13" t="s">
        <v>178</v>
      </c>
      <c r="D90" s="14">
        <v>461.0</v>
      </c>
      <c r="E90" s="16"/>
      <c r="F90" s="14">
        <f t="shared" si="5"/>
        <v>461</v>
      </c>
      <c r="G90" s="19">
        <f t="shared" si="6"/>
        <v>13879</v>
      </c>
    </row>
    <row r="91">
      <c r="A91" s="12">
        <v>25.0</v>
      </c>
      <c r="B91" s="12" t="s">
        <v>106</v>
      </c>
      <c r="C91" s="13" t="s">
        <v>122</v>
      </c>
      <c r="D91" s="14">
        <v>484.0</v>
      </c>
      <c r="E91" s="16"/>
      <c r="F91" s="14">
        <f t="shared" si="5"/>
        <v>484</v>
      </c>
      <c r="G91" s="19">
        <f t="shared" si="6"/>
        <v>14363</v>
      </c>
    </row>
    <row r="92">
      <c r="A92" s="12">
        <v>26.0</v>
      </c>
      <c r="B92" s="12" t="s">
        <v>67</v>
      </c>
      <c r="C92" s="13" t="s">
        <v>176</v>
      </c>
      <c r="D92" s="14">
        <v>418.0</v>
      </c>
      <c r="E92" s="16"/>
      <c r="F92" s="14">
        <f t="shared" si="5"/>
        <v>418</v>
      </c>
      <c r="G92" s="19">
        <f t="shared" si="6"/>
        <v>14781</v>
      </c>
    </row>
    <row r="93">
      <c r="A93" s="12">
        <v>27.0</v>
      </c>
      <c r="B93" s="12" t="s">
        <v>67</v>
      </c>
      <c r="C93" s="13" t="s">
        <v>176</v>
      </c>
      <c r="D93" s="14">
        <v>439.0</v>
      </c>
      <c r="E93" s="16"/>
      <c r="F93" s="14">
        <f t="shared" si="5"/>
        <v>439</v>
      </c>
      <c r="G93" s="19">
        <f t="shared" si="6"/>
        <v>15220</v>
      </c>
    </row>
    <row r="94">
      <c r="A94" s="12">
        <v>28.0</v>
      </c>
      <c r="B94" s="12" t="s">
        <v>67</v>
      </c>
      <c r="C94" s="13" t="s">
        <v>176</v>
      </c>
      <c r="D94" s="14">
        <v>461.0</v>
      </c>
      <c r="E94" s="16"/>
      <c r="F94" s="14">
        <f t="shared" si="5"/>
        <v>461</v>
      </c>
      <c r="G94" s="19">
        <f t="shared" si="6"/>
        <v>15681</v>
      </c>
    </row>
    <row r="95">
      <c r="A95" s="12">
        <v>29.0</v>
      </c>
      <c r="B95" s="12" t="s">
        <v>173</v>
      </c>
      <c r="C95" s="13" t="s">
        <v>174</v>
      </c>
      <c r="D95" s="14">
        <v>461.0</v>
      </c>
      <c r="E95" s="16"/>
      <c r="F95" s="14">
        <f t="shared" si="5"/>
        <v>461</v>
      </c>
      <c r="G95" s="19">
        <f t="shared" si="6"/>
        <v>16142</v>
      </c>
    </row>
    <row r="96">
      <c r="A96" s="12">
        <v>30.0</v>
      </c>
      <c r="B96" s="12" t="s">
        <v>67</v>
      </c>
      <c r="C96" s="13" t="s">
        <v>176</v>
      </c>
      <c r="D96" s="14">
        <v>439.0</v>
      </c>
      <c r="E96" s="16"/>
      <c r="F96" s="14">
        <f t="shared" si="5"/>
        <v>439</v>
      </c>
      <c r="G96" s="19">
        <f t="shared" si="6"/>
        <v>16581</v>
      </c>
    </row>
    <row r="97">
      <c r="A97" s="12">
        <v>31.0</v>
      </c>
      <c r="B97" s="12" t="s">
        <v>67</v>
      </c>
      <c r="C97" s="13" t="s">
        <v>176</v>
      </c>
      <c r="D97" s="14">
        <v>461.0</v>
      </c>
      <c r="E97" s="16"/>
      <c r="F97" s="14">
        <f t="shared" si="5"/>
        <v>461</v>
      </c>
      <c r="G97" s="19">
        <f t="shared" si="6"/>
        <v>17042</v>
      </c>
    </row>
    <row r="98">
      <c r="A98" s="12">
        <v>32.0</v>
      </c>
      <c r="B98" s="12" t="s">
        <v>173</v>
      </c>
      <c r="C98" s="13" t="s">
        <v>174</v>
      </c>
      <c r="D98" s="14">
        <v>461.0</v>
      </c>
      <c r="E98" s="16"/>
      <c r="F98" s="14">
        <f t="shared" si="5"/>
        <v>461</v>
      </c>
      <c r="G98" s="19">
        <f t="shared" si="6"/>
        <v>17503</v>
      </c>
    </row>
    <row r="99">
      <c r="A99" s="12">
        <v>33.0</v>
      </c>
      <c r="B99" s="12" t="s">
        <v>180</v>
      </c>
      <c r="C99" s="13" t="s">
        <v>181</v>
      </c>
      <c r="D99" s="14">
        <v>823.0</v>
      </c>
      <c r="E99" s="14">
        <v>864.0</v>
      </c>
      <c r="F99" s="14">
        <f t="shared" si="5"/>
        <v>1687</v>
      </c>
      <c r="G99" s="19">
        <f t="shared" si="6"/>
        <v>19190</v>
      </c>
    </row>
    <row r="100">
      <c r="A100" s="24"/>
      <c r="B100" s="24"/>
      <c r="C100" s="26"/>
      <c r="D100" s="27">
        <v>35.0</v>
      </c>
      <c r="E100" s="28"/>
      <c r="F100" s="27">
        <f>SUM(F67:F99)</f>
        <v>19190</v>
      </c>
      <c r="G100" s="29">
        <f>G99</f>
        <v>19190</v>
      </c>
    </row>
    <row r="101">
      <c r="C101" s="30"/>
      <c r="G101" s="30"/>
    </row>
    <row r="102">
      <c r="A102" s="4" t="s">
        <v>327</v>
      </c>
      <c r="B102" s="5"/>
      <c r="C102" s="5"/>
      <c r="D102" s="5"/>
      <c r="E102" s="5"/>
      <c r="F102" s="5"/>
      <c r="G102" s="6"/>
    </row>
    <row r="103">
      <c r="A103" s="7"/>
      <c r="B103" s="8"/>
      <c r="C103" s="8"/>
      <c r="D103" s="8"/>
      <c r="E103" s="8"/>
      <c r="F103" s="8"/>
      <c r="G103" s="9"/>
    </row>
    <row r="104">
      <c r="A104" s="10"/>
      <c r="B104" s="10" t="s">
        <v>6</v>
      </c>
      <c r="C104" s="11" t="s">
        <v>7</v>
      </c>
      <c r="D104" s="10" t="s">
        <v>8</v>
      </c>
      <c r="E104" s="10" t="s">
        <v>9</v>
      </c>
      <c r="F104" s="10" t="s">
        <v>10</v>
      </c>
      <c r="G104" s="11" t="s">
        <v>11</v>
      </c>
    </row>
    <row r="105">
      <c r="A105" s="12">
        <v>1.0</v>
      </c>
      <c r="B105" s="12" t="s">
        <v>200</v>
      </c>
      <c r="C105" s="13" t="s">
        <v>328</v>
      </c>
      <c r="D105" s="14">
        <v>530.0</v>
      </c>
      <c r="E105" s="16"/>
      <c r="F105" s="14">
        <f t="shared" ref="F105:F138" si="7">SUM(D105:E105)</f>
        <v>530</v>
      </c>
      <c r="G105" s="19">
        <f>F105</f>
        <v>530</v>
      </c>
    </row>
    <row r="106">
      <c r="A106" s="12">
        <v>2.0</v>
      </c>
      <c r="B106" s="12" t="s">
        <v>202</v>
      </c>
      <c r="C106" s="13" t="s">
        <v>329</v>
      </c>
      <c r="D106" s="14">
        <v>557.0</v>
      </c>
      <c r="E106" s="16"/>
      <c r="F106" s="14">
        <f t="shared" si="7"/>
        <v>557</v>
      </c>
      <c r="G106" s="19">
        <f t="shared" ref="G106:G138" si="8">G105+F106</f>
        <v>1087</v>
      </c>
    </row>
    <row r="107">
      <c r="A107" s="12">
        <v>3.0</v>
      </c>
      <c r="B107" s="12" t="s">
        <v>202</v>
      </c>
      <c r="C107" s="13" t="s">
        <v>329</v>
      </c>
      <c r="D107" s="14">
        <v>585.0</v>
      </c>
      <c r="E107" s="16"/>
      <c r="F107" s="14">
        <f t="shared" si="7"/>
        <v>585</v>
      </c>
      <c r="G107" s="19">
        <f t="shared" si="8"/>
        <v>1672</v>
      </c>
    </row>
    <row r="108">
      <c r="A108" s="12">
        <v>4.0</v>
      </c>
      <c r="B108" s="12" t="s">
        <v>202</v>
      </c>
      <c r="C108" s="13" t="s">
        <v>329</v>
      </c>
      <c r="D108" s="14">
        <v>614.0</v>
      </c>
      <c r="E108" s="16"/>
      <c r="F108" s="14">
        <f t="shared" si="7"/>
        <v>614</v>
      </c>
      <c r="G108" s="19">
        <f t="shared" si="8"/>
        <v>2286</v>
      </c>
    </row>
    <row r="109">
      <c r="A109" s="12">
        <v>5.0</v>
      </c>
      <c r="B109" s="12" t="s">
        <v>200</v>
      </c>
      <c r="C109" s="13" t="s">
        <v>328</v>
      </c>
      <c r="D109" s="14">
        <v>557.0</v>
      </c>
      <c r="E109" s="16"/>
      <c r="F109" s="14">
        <f t="shared" si="7"/>
        <v>557</v>
      </c>
      <c r="G109" s="19">
        <f t="shared" si="8"/>
        <v>2843</v>
      </c>
    </row>
    <row r="110">
      <c r="A110" s="12">
        <v>6.0</v>
      </c>
      <c r="B110" s="12" t="s">
        <v>210</v>
      </c>
      <c r="C110" s="13" t="s">
        <v>330</v>
      </c>
      <c r="D110" s="14">
        <v>585.0</v>
      </c>
      <c r="E110" s="16"/>
      <c r="F110" s="14">
        <f t="shared" si="7"/>
        <v>585</v>
      </c>
      <c r="G110" s="19">
        <f t="shared" si="8"/>
        <v>3428</v>
      </c>
    </row>
    <row r="111">
      <c r="A111" s="12">
        <v>7.0</v>
      </c>
      <c r="B111" s="12" t="s">
        <v>210</v>
      </c>
      <c r="C111" s="13" t="s">
        <v>330</v>
      </c>
      <c r="D111" s="14">
        <v>614.0</v>
      </c>
      <c r="E111" s="16"/>
      <c r="F111" s="14">
        <f t="shared" si="7"/>
        <v>614</v>
      </c>
      <c r="G111" s="19">
        <f t="shared" si="8"/>
        <v>4042</v>
      </c>
    </row>
    <row r="112">
      <c r="A112" s="12">
        <v>8.0</v>
      </c>
      <c r="B112" s="12" t="s">
        <v>206</v>
      </c>
      <c r="C112" s="13" t="s">
        <v>331</v>
      </c>
      <c r="D112" s="14">
        <v>557.0</v>
      </c>
      <c r="E112" s="16"/>
      <c r="F112" s="14">
        <f t="shared" si="7"/>
        <v>557</v>
      </c>
      <c r="G112" s="19">
        <f t="shared" si="8"/>
        <v>4599</v>
      </c>
    </row>
    <row r="113">
      <c r="A113" s="12">
        <v>9.0</v>
      </c>
      <c r="B113" s="12" t="s">
        <v>206</v>
      </c>
      <c r="C113" s="13" t="s">
        <v>331</v>
      </c>
      <c r="D113" s="14">
        <v>585.0</v>
      </c>
      <c r="E113" s="16"/>
      <c r="F113" s="14">
        <f t="shared" si="7"/>
        <v>585</v>
      </c>
      <c r="G113" s="19">
        <f t="shared" si="8"/>
        <v>5184</v>
      </c>
    </row>
    <row r="114">
      <c r="A114" s="12">
        <v>10.0</v>
      </c>
      <c r="B114" s="12" t="s">
        <v>206</v>
      </c>
      <c r="C114" s="13" t="s">
        <v>331</v>
      </c>
      <c r="D114" s="14">
        <v>614.0</v>
      </c>
      <c r="E114" s="16"/>
      <c r="F114" s="14">
        <f t="shared" si="7"/>
        <v>614</v>
      </c>
      <c r="G114" s="19">
        <f t="shared" si="8"/>
        <v>5798</v>
      </c>
    </row>
    <row r="115">
      <c r="A115" s="12">
        <v>11.0</v>
      </c>
      <c r="B115" s="12" t="s">
        <v>212</v>
      </c>
      <c r="C115" s="13" t="s">
        <v>332</v>
      </c>
      <c r="D115" s="14">
        <v>1096.0</v>
      </c>
      <c r="E115" s="14">
        <v>1151.0</v>
      </c>
      <c r="F115" s="14">
        <f t="shared" si="7"/>
        <v>2247</v>
      </c>
      <c r="G115" s="19">
        <f t="shared" si="8"/>
        <v>8045</v>
      </c>
    </row>
    <row r="116">
      <c r="A116" s="12">
        <v>12.0</v>
      </c>
      <c r="B116" s="12" t="s">
        <v>214</v>
      </c>
      <c r="C116" s="13" t="s">
        <v>333</v>
      </c>
      <c r="D116" s="14">
        <v>530.0</v>
      </c>
      <c r="E116" s="16"/>
      <c r="F116" s="14">
        <f t="shared" si="7"/>
        <v>530</v>
      </c>
      <c r="G116" s="19">
        <f t="shared" si="8"/>
        <v>8575</v>
      </c>
    </row>
    <row r="117">
      <c r="A117" s="12">
        <v>13.0</v>
      </c>
      <c r="B117" s="12" t="s">
        <v>218</v>
      </c>
      <c r="C117" s="13" t="s">
        <v>334</v>
      </c>
      <c r="D117" s="14">
        <v>557.0</v>
      </c>
      <c r="E117" s="16"/>
      <c r="F117" s="14">
        <f t="shared" si="7"/>
        <v>557</v>
      </c>
      <c r="G117" s="19">
        <f t="shared" si="8"/>
        <v>9132</v>
      </c>
    </row>
    <row r="118">
      <c r="A118" s="12">
        <v>14.0</v>
      </c>
      <c r="B118" s="12" t="s">
        <v>218</v>
      </c>
      <c r="C118" s="13" t="s">
        <v>334</v>
      </c>
      <c r="D118" s="14">
        <v>585.0</v>
      </c>
      <c r="E118" s="16"/>
      <c r="F118" s="14">
        <f t="shared" si="7"/>
        <v>585</v>
      </c>
      <c r="G118" s="19">
        <f t="shared" si="8"/>
        <v>9717</v>
      </c>
    </row>
    <row r="119">
      <c r="A119" s="12">
        <v>15.0</v>
      </c>
      <c r="B119" s="12" t="s">
        <v>218</v>
      </c>
      <c r="C119" s="13" t="s">
        <v>334</v>
      </c>
      <c r="D119" s="14">
        <v>614.0</v>
      </c>
      <c r="E119" s="16"/>
      <c r="F119" s="14">
        <f t="shared" si="7"/>
        <v>614</v>
      </c>
      <c r="G119" s="19">
        <f t="shared" si="8"/>
        <v>10331</v>
      </c>
    </row>
    <row r="120">
      <c r="A120" s="12">
        <v>16.0</v>
      </c>
      <c r="B120" s="12" t="s">
        <v>214</v>
      </c>
      <c r="C120" s="13" t="s">
        <v>333</v>
      </c>
      <c r="D120" s="14">
        <v>557.0</v>
      </c>
      <c r="E120" s="16"/>
      <c r="F120" s="14">
        <f t="shared" si="7"/>
        <v>557</v>
      </c>
      <c r="G120" s="19">
        <f t="shared" si="8"/>
        <v>10888</v>
      </c>
    </row>
    <row r="121">
      <c r="A121" s="12">
        <v>17.0</v>
      </c>
      <c r="B121" s="12" t="s">
        <v>224</v>
      </c>
      <c r="C121" s="13" t="s">
        <v>335</v>
      </c>
      <c r="D121" s="14">
        <v>585.0</v>
      </c>
      <c r="E121" s="16"/>
      <c r="F121" s="14">
        <f t="shared" si="7"/>
        <v>585</v>
      </c>
      <c r="G121" s="19">
        <f t="shared" si="8"/>
        <v>11473</v>
      </c>
    </row>
    <row r="122">
      <c r="A122" s="12">
        <v>18.0</v>
      </c>
      <c r="B122" s="12" t="s">
        <v>224</v>
      </c>
      <c r="C122" s="13" t="s">
        <v>335</v>
      </c>
      <c r="D122" s="14">
        <v>614.0</v>
      </c>
      <c r="E122" s="16"/>
      <c r="F122" s="14">
        <f t="shared" si="7"/>
        <v>614</v>
      </c>
      <c r="G122" s="19">
        <f t="shared" si="8"/>
        <v>12087</v>
      </c>
    </row>
    <row r="123">
      <c r="A123" s="12">
        <v>19.0</v>
      </c>
      <c r="B123" s="12" t="s">
        <v>157</v>
      </c>
      <c r="C123" s="13" t="s">
        <v>336</v>
      </c>
      <c r="D123" s="14">
        <v>557.0</v>
      </c>
      <c r="E123" s="16"/>
      <c r="F123" s="14">
        <f t="shared" si="7"/>
        <v>557</v>
      </c>
      <c r="G123" s="19">
        <f t="shared" si="8"/>
        <v>12644</v>
      </c>
    </row>
    <row r="124">
      <c r="A124" s="12">
        <v>20.0</v>
      </c>
      <c r="B124" s="12" t="s">
        <v>157</v>
      </c>
      <c r="C124" s="13" t="s">
        <v>336</v>
      </c>
      <c r="D124" s="14">
        <v>585.0</v>
      </c>
      <c r="E124" s="16"/>
      <c r="F124" s="14">
        <f t="shared" si="7"/>
        <v>585</v>
      </c>
      <c r="G124" s="19">
        <f t="shared" si="8"/>
        <v>13229</v>
      </c>
    </row>
    <row r="125">
      <c r="A125" s="12">
        <v>21.0</v>
      </c>
      <c r="B125" s="12" t="s">
        <v>157</v>
      </c>
      <c r="C125" s="13" t="s">
        <v>336</v>
      </c>
      <c r="D125" s="14">
        <v>614.0</v>
      </c>
      <c r="E125" s="16"/>
      <c r="F125" s="14">
        <f t="shared" si="7"/>
        <v>614</v>
      </c>
      <c r="G125" s="19">
        <f t="shared" si="8"/>
        <v>13843</v>
      </c>
    </row>
    <row r="126">
      <c r="A126" s="12">
        <v>22.0</v>
      </c>
      <c r="B126" s="12" t="s">
        <v>230</v>
      </c>
      <c r="C126" s="13" t="s">
        <v>337</v>
      </c>
      <c r="D126" s="14">
        <v>1096.0</v>
      </c>
      <c r="E126" s="14">
        <v>1151.0</v>
      </c>
      <c r="F126" s="14">
        <f t="shared" si="7"/>
        <v>2247</v>
      </c>
      <c r="G126" s="19">
        <f t="shared" si="8"/>
        <v>16090</v>
      </c>
    </row>
    <row r="127">
      <c r="A127" s="12">
        <v>23.0</v>
      </c>
      <c r="B127" s="12" t="s">
        <v>226</v>
      </c>
      <c r="C127" s="13" t="s">
        <v>338</v>
      </c>
      <c r="D127" s="14">
        <v>530.0</v>
      </c>
      <c r="E127" s="16"/>
      <c r="F127" s="14">
        <f t="shared" si="7"/>
        <v>530</v>
      </c>
      <c r="G127" s="19">
        <f t="shared" si="8"/>
        <v>16620</v>
      </c>
    </row>
    <row r="128">
      <c r="A128" s="12">
        <v>24.0</v>
      </c>
      <c r="B128" s="12" t="s">
        <v>237</v>
      </c>
      <c r="C128" s="13" t="s">
        <v>339</v>
      </c>
      <c r="D128" s="14">
        <v>557.0</v>
      </c>
      <c r="E128" s="16"/>
      <c r="F128" s="14">
        <f t="shared" si="7"/>
        <v>557</v>
      </c>
      <c r="G128" s="19">
        <f t="shared" si="8"/>
        <v>17177</v>
      </c>
    </row>
    <row r="129">
      <c r="A129" s="12">
        <v>25.0</v>
      </c>
      <c r="B129" s="12" t="s">
        <v>237</v>
      </c>
      <c r="C129" s="13" t="s">
        <v>339</v>
      </c>
      <c r="D129" s="14">
        <v>585.0</v>
      </c>
      <c r="E129" s="16"/>
      <c r="F129" s="14">
        <f t="shared" si="7"/>
        <v>585</v>
      </c>
      <c r="G129" s="19">
        <f t="shared" si="8"/>
        <v>17762</v>
      </c>
    </row>
    <row r="130">
      <c r="A130" s="12">
        <v>26.0</v>
      </c>
      <c r="B130" s="12" t="s">
        <v>237</v>
      </c>
      <c r="C130" s="13" t="s">
        <v>339</v>
      </c>
      <c r="D130" s="14">
        <v>614.0</v>
      </c>
      <c r="E130" s="16"/>
      <c r="F130" s="14">
        <f t="shared" si="7"/>
        <v>614</v>
      </c>
      <c r="G130" s="19">
        <f t="shared" si="8"/>
        <v>18376</v>
      </c>
    </row>
    <row r="131">
      <c r="A131" s="12">
        <v>27.0</v>
      </c>
      <c r="B131" s="12" t="s">
        <v>226</v>
      </c>
      <c r="C131" s="13" t="s">
        <v>338</v>
      </c>
      <c r="D131" s="14">
        <v>557.0</v>
      </c>
      <c r="E131" s="16"/>
      <c r="F131" s="14">
        <f t="shared" si="7"/>
        <v>557</v>
      </c>
      <c r="G131" s="19">
        <f t="shared" si="8"/>
        <v>18933</v>
      </c>
    </row>
    <row r="132">
      <c r="A132" s="12">
        <v>28.0</v>
      </c>
      <c r="B132" s="12" t="s">
        <v>242</v>
      </c>
      <c r="C132" s="13" t="s">
        <v>340</v>
      </c>
      <c r="D132" s="14">
        <v>585.0</v>
      </c>
      <c r="E132" s="16"/>
      <c r="F132" s="14">
        <f t="shared" si="7"/>
        <v>585</v>
      </c>
      <c r="G132" s="19">
        <f t="shared" si="8"/>
        <v>19518</v>
      </c>
    </row>
    <row r="133">
      <c r="A133" s="12">
        <v>29.0</v>
      </c>
      <c r="B133" s="12" t="s">
        <v>242</v>
      </c>
      <c r="C133" s="13" t="s">
        <v>340</v>
      </c>
      <c r="D133" s="14">
        <v>614.0</v>
      </c>
      <c r="E133" s="16"/>
      <c r="F133" s="14">
        <f t="shared" si="7"/>
        <v>614</v>
      </c>
      <c r="G133" s="19">
        <f t="shared" si="8"/>
        <v>20132</v>
      </c>
    </row>
    <row r="134">
      <c r="A134" s="12">
        <v>30.0</v>
      </c>
      <c r="B134" s="12" t="s">
        <v>234</v>
      </c>
      <c r="C134" s="13" t="s">
        <v>341</v>
      </c>
      <c r="D134" s="14">
        <v>557.0</v>
      </c>
      <c r="E134" s="16"/>
      <c r="F134" s="14">
        <f t="shared" si="7"/>
        <v>557</v>
      </c>
      <c r="G134" s="19">
        <f t="shared" si="8"/>
        <v>20689</v>
      </c>
    </row>
    <row r="135">
      <c r="A135" s="12">
        <v>31.0</v>
      </c>
      <c r="B135" s="12" t="s">
        <v>234</v>
      </c>
      <c r="C135" s="13" t="s">
        <v>341</v>
      </c>
      <c r="D135" s="14">
        <v>585.0</v>
      </c>
      <c r="E135" s="16"/>
      <c r="F135" s="14">
        <f t="shared" si="7"/>
        <v>585</v>
      </c>
      <c r="G135" s="19">
        <f t="shared" si="8"/>
        <v>21274</v>
      </c>
    </row>
    <row r="136">
      <c r="A136" s="12">
        <v>32.0</v>
      </c>
      <c r="B136" s="12" t="s">
        <v>234</v>
      </c>
      <c r="C136" s="13" t="s">
        <v>341</v>
      </c>
      <c r="D136" s="14">
        <v>614.0</v>
      </c>
      <c r="E136" s="16"/>
      <c r="F136" s="14">
        <f t="shared" si="7"/>
        <v>614</v>
      </c>
      <c r="G136" s="19">
        <f t="shared" si="8"/>
        <v>21888</v>
      </c>
    </row>
    <row r="137">
      <c r="A137" s="12">
        <v>33.0</v>
      </c>
      <c r="B137" s="12" t="s">
        <v>244</v>
      </c>
      <c r="C137" s="13" t="s">
        <v>342</v>
      </c>
      <c r="D137" s="14">
        <v>1096.0</v>
      </c>
      <c r="E137" s="14">
        <v>1151.0</v>
      </c>
      <c r="F137" s="14">
        <f t="shared" si="7"/>
        <v>2247</v>
      </c>
      <c r="G137" s="19">
        <f t="shared" si="8"/>
        <v>24135</v>
      </c>
    </row>
    <row r="138">
      <c r="A138" s="12">
        <v>34.0</v>
      </c>
      <c r="B138" s="12" t="s">
        <v>343</v>
      </c>
      <c r="C138" s="23" t="s">
        <v>344</v>
      </c>
      <c r="D138" s="14">
        <v>3048.0</v>
      </c>
      <c r="E138" s="16"/>
      <c r="F138" s="14">
        <f t="shared" si="7"/>
        <v>3048</v>
      </c>
      <c r="G138" s="19">
        <f t="shared" si="8"/>
        <v>27183</v>
      </c>
    </row>
    <row r="139">
      <c r="A139" s="24"/>
      <c r="B139" s="24"/>
      <c r="C139" s="26"/>
      <c r="D139" s="27">
        <v>37.0</v>
      </c>
      <c r="E139" s="28"/>
      <c r="F139" s="27">
        <f>SUM(F105:F138)</f>
        <v>27183</v>
      </c>
      <c r="G139" s="29">
        <f>G138</f>
        <v>27183</v>
      </c>
    </row>
  </sheetData>
  <mergeCells count="4">
    <mergeCell ref="A1:G2"/>
    <mergeCell ref="A30:G31"/>
    <mergeCell ref="A64:G65"/>
    <mergeCell ref="A102:G103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0.86"/>
    <col customWidth="1" min="3" max="3" width="67.71"/>
    <col customWidth="1" min="4" max="5" width="7.14"/>
    <col customWidth="1" min="6" max="6" width="7.0"/>
    <col customWidth="1" min="7" max="7" width="8.57"/>
  </cols>
  <sheetData>
    <row r="1">
      <c r="A1" s="4" t="s">
        <v>142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25</v>
      </c>
      <c r="C4" s="13" t="s">
        <v>32</v>
      </c>
      <c r="D4" s="14">
        <v>219.0</v>
      </c>
      <c r="E4" s="16"/>
      <c r="F4" s="14">
        <f t="shared" ref="F4:F27" si="1">SUM(D4:E4)</f>
        <v>219</v>
      </c>
      <c r="G4" s="19">
        <f>F4</f>
        <v>219</v>
      </c>
    </row>
    <row r="5">
      <c r="A5" s="12">
        <v>2.0</v>
      </c>
      <c r="B5" s="12" t="s">
        <v>25</v>
      </c>
      <c r="C5" s="13" t="s">
        <v>32</v>
      </c>
      <c r="D5" s="14">
        <v>230.0</v>
      </c>
      <c r="E5" s="16"/>
      <c r="F5" s="14">
        <f t="shared" si="1"/>
        <v>230</v>
      </c>
      <c r="G5" s="19">
        <f t="shared" ref="G5:G27" si="2">G4+F5</f>
        <v>449</v>
      </c>
    </row>
    <row r="6">
      <c r="A6" s="12">
        <v>3.0</v>
      </c>
      <c r="B6" s="12" t="s">
        <v>25</v>
      </c>
      <c r="C6" s="13" t="s">
        <v>32</v>
      </c>
      <c r="D6" s="14">
        <v>241.0</v>
      </c>
      <c r="E6" s="16"/>
      <c r="F6" s="14">
        <f t="shared" si="1"/>
        <v>241</v>
      </c>
      <c r="G6" s="19">
        <f t="shared" si="2"/>
        <v>690</v>
      </c>
    </row>
    <row r="7">
      <c r="A7" s="12">
        <v>4.0</v>
      </c>
      <c r="B7" s="12" t="s">
        <v>25</v>
      </c>
      <c r="C7" s="13" t="s">
        <v>32</v>
      </c>
      <c r="D7" s="14">
        <v>254.0</v>
      </c>
      <c r="E7" s="16"/>
      <c r="F7" s="14">
        <f t="shared" si="1"/>
        <v>254</v>
      </c>
      <c r="G7" s="19">
        <f t="shared" si="2"/>
        <v>944</v>
      </c>
    </row>
    <row r="8">
      <c r="A8" s="12">
        <v>5.0</v>
      </c>
      <c r="B8" s="12" t="s">
        <v>25</v>
      </c>
      <c r="C8" s="13" t="s">
        <v>32</v>
      </c>
      <c r="D8" s="14">
        <v>266.0</v>
      </c>
      <c r="E8" s="16"/>
      <c r="F8" s="14">
        <f t="shared" si="1"/>
        <v>266</v>
      </c>
      <c r="G8" s="19">
        <f t="shared" si="2"/>
        <v>1210</v>
      </c>
    </row>
    <row r="9">
      <c r="A9" s="12">
        <v>6.0</v>
      </c>
      <c r="B9" s="12" t="s">
        <v>138</v>
      </c>
      <c r="C9" s="13" t="s">
        <v>156</v>
      </c>
      <c r="D9" s="14">
        <v>1260.0</v>
      </c>
      <c r="E9" s="16"/>
      <c r="F9" s="14">
        <f t="shared" si="1"/>
        <v>1260</v>
      </c>
      <c r="G9" s="19">
        <f t="shared" si="2"/>
        <v>2470</v>
      </c>
    </row>
    <row r="10">
      <c r="A10" s="12">
        <v>7.0</v>
      </c>
      <c r="B10" s="12" t="s">
        <v>25</v>
      </c>
      <c r="C10" s="13" t="s">
        <v>32</v>
      </c>
      <c r="D10" s="14">
        <v>219.0</v>
      </c>
      <c r="E10" s="16"/>
      <c r="F10" s="14">
        <f t="shared" si="1"/>
        <v>219</v>
      </c>
      <c r="G10" s="19">
        <f t="shared" si="2"/>
        <v>2689</v>
      </c>
    </row>
    <row r="11">
      <c r="A11" s="12">
        <v>8.0</v>
      </c>
      <c r="B11" s="12" t="s">
        <v>25</v>
      </c>
      <c r="C11" s="13" t="s">
        <v>32</v>
      </c>
      <c r="D11" s="14">
        <v>230.0</v>
      </c>
      <c r="E11" s="16"/>
      <c r="F11" s="14">
        <f t="shared" si="1"/>
        <v>230</v>
      </c>
      <c r="G11" s="19">
        <f t="shared" si="2"/>
        <v>2919</v>
      </c>
    </row>
    <row r="12">
      <c r="A12" s="12">
        <v>9.0</v>
      </c>
      <c r="B12" s="12" t="s">
        <v>25</v>
      </c>
      <c r="C12" s="13" t="s">
        <v>32</v>
      </c>
      <c r="D12" s="14">
        <v>241.0</v>
      </c>
      <c r="E12" s="16"/>
      <c r="F12" s="14">
        <f t="shared" si="1"/>
        <v>241</v>
      </c>
      <c r="G12" s="19">
        <f t="shared" si="2"/>
        <v>3160</v>
      </c>
    </row>
    <row r="13">
      <c r="A13" s="12">
        <v>10.0</v>
      </c>
      <c r="B13" s="12" t="s">
        <v>25</v>
      </c>
      <c r="C13" s="13" t="s">
        <v>32</v>
      </c>
      <c r="D13" s="14">
        <v>254.0</v>
      </c>
      <c r="E13" s="16"/>
      <c r="F13" s="14">
        <f t="shared" si="1"/>
        <v>254</v>
      </c>
      <c r="G13" s="19">
        <f t="shared" si="2"/>
        <v>3414</v>
      </c>
    </row>
    <row r="14">
      <c r="A14" s="12">
        <v>11.0</v>
      </c>
      <c r="B14" s="12" t="s">
        <v>22</v>
      </c>
      <c r="C14" s="13" t="s">
        <v>27</v>
      </c>
      <c r="D14" s="14">
        <v>266.0</v>
      </c>
      <c r="E14" s="16"/>
      <c r="F14" s="14">
        <f t="shared" si="1"/>
        <v>266</v>
      </c>
      <c r="G14" s="19">
        <f t="shared" si="2"/>
        <v>3680</v>
      </c>
    </row>
    <row r="15">
      <c r="A15" s="12">
        <v>12.0</v>
      </c>
      <c r="B15" s="12" t="s">
        <v>144</v>
      </c>
      <c r="C15" s="13" t="s">
        <v>321</v>
      </c>
      <c r="D15" s="14">
        <v>476.0</v>
      </c>
      <c r="E15" s="14">
        <v>499.0</v>
      </c>
      <c r="F15" s="14">
        <f t="shared" si="1"/>
        <v>975</v>
      </c>
      <c r="G15" s="19">
        <f t="shared" si="2"/>
        <v>4655</v>
      </c>
    </row>
    <row r="16">
      <c r="A16" s="12">
        <v>13.0</v>
      </c>
      <c r="B16" s="12" t="s">
        <v>12</v>
      </c>
      <c r="C16" s="13" t="s">
        <v>16</v>
      </c>
      <c r="D16" s="14">
        <v>219.0</v>
      </c>
      <c r="E16" s="16"/>
      <c r="F16" s="14">
        <f t="shared" si="1"/>
        <v>219</v>
      </c>
      <c r="G16" s="19">
        <f t="shared" si="2"/>
        <v>4874</v>
      </c>
    </row>
    <row r="17">
      <c r="A17" s="12">
        <v>14.0</v>
      </c>
      <c r="B17" s="12" t="s">
        <v>12</v>
      </c>
      <c r="C17" s="13" t="s">
        <v>16</v>
      </c>
      <c r="D17" s="14">
        <v>230.0</v>
      </c>
      <c r="E17" s="16"/>
      <c r="F17" s="14">
        <f t="shared" si="1"/>
        <v>230</v>
      </c>
      <c r="G17" s="19">
        <f t="shared" si="2"/>
        <v>5104</v>
      </c>
    </row>
    <row r="18">
      <c r="A18" s="12">
        <v>15.0</v>
      </c>
      <c r="B18" s="12" t="s">
        <v>12</v>
      </c>
      <c r="C18" s="13" t="s">
        <v>16</v>
      </c>
      <c r="D18" s="14">
        <v>241.0</v>
      </c>
      <c r="E18" s="16"/>
      <c r="F18" s="14">
        <f t="shared" si="1"/>
        <v>241</v>
      </c>
      <c r="G18" s="19">
        <f t="shared" si="2"/>
        <v>5345</v>
      </c>
    </row>
    <row r="19">
      <c r="A19" s="12">
        <v>16.0</v>
      </c>
      <c r="B19" s="12" t="s">
        <v>12</v>
      </c>
      <c r="C19" s="13" t="s">
        <v>16</v>
      </c>
      <c r="D19" s="14">
        <v>254.0</v>
      </c>
      <c r="E19" s="16"/>
      <c r="F19" s="14">
        <f t="shared" si="1"/>
        <v>254</v>
      </c>
      <c r="G19" s="19">
        <f t="shared" si="2"/>
        <v>5599</v>
      </c>
    </row>
    <row r="20">
      <c r="A20" s="12">
        <v>17.0</v>
      </c>
      <c r="B20" s="12" t="s">
        <v>22</v>
      </c>
      <c r="C20" s="13" t="s">
        <v>27</v>
      </c>
      <c r="D20" s="14">
        <v>266.0</v>
      </c>
      <c r="E20" s="16"/>
      <c r="F20" s="14">
        <f t="shared" si="1"/>
        <v>266</v>
      </c>
      <c r="G20" s="19">
        <f t="shared" si="2"/>
        <v>5865</v>
      </c>
    </row>
    <row r="21">
      <c r="A21" s="12">
        <v>18.0</v>
      </c>
      <c r="B21" s="12" t="s">
        <v>144</v>
      </c>
      <c r="C21" s="13" t="s">
        <v>321</v>
      </c>
      <c r="D21" s="14">
        <v>476.0</v>
      </c>
      <c r="E21" s="14">
        <v>499.0</v>
      </c>
      <c r="F21" s="14">
        <f t="shared" si="1"/>
        <v>975</v>
      </c>
      <c r="G21" s="19">
        <f t="shared" si="2"/>
        <v>6840</v>
      </c>
    </row>
    <row r="22">
      <c r="A22" s="12">
        <v>19.0</v>
      </c>
      <c r="B22" s="12" t="s">
        <v>12</v>
      </c>
      <c r="C22" s="13" t="s">
        <v>16</v>
      </c>
      <c r="D22" s="14">
        <v>219.0</v>
      </c>
      <c r="E22" s="16"/>
      <c r="F22" s="14">
        <f t="shared" si="1"/>
        <v>219</v>
      </c>
      <c r="G22" s="19">
        <f t="shared" si="2"/>
        <v>7059</v>
      </c>
    </row>
    <row r="23">
      <c r="A23" s="12">
        <v>20.0</v>
      </c>
      <c r="B23" s="12" t="s">
        <v>12</v>
      </c>
      <c r="C23" s="13" t="s">
        <v>16</v>
      </c>
      <c r="D23" s="14">
        <v>230.0</v>
      </c>
      <c r="E23" s="16"/>
      <c r="F23" s="14">
        <f t="shared" si="1"/>
        <v>230</v>
      </c>
      <c r="G23" s="19">
        <f t="shared" si="2"/>
        <v>7289</v>
      </c>
    </row>
    <row r="24">
      <c r="A24" s="12">
        <v>21.0</v>
      </c>
      <c r="B24" s="12" t="s">
        <v>12</v>
      </c>
      <c r="C24" s="13" t="s">
        <v>16</v>
      </c>
      <c r="D24" s="14">
        <v>241.0</v>
      </c>
      <c r="E24" s="16"/>
      <c r="F24" s="14">
        <f t="shared" si="1"/>
        <v>241</v>
      </c>
      <c r="G24" s="19">
        <f t="shared" si="2"/>
        <v>7530</v>
      </c>
    </row>
    <row r="25">
      <c r="A25" s="12">
        <v>22.0</v>
      </c>
      <c r="B25" s="12" t="s">
        <v>12</v>
      </c>
      <c r="C25" s="13" t="s">
        <v>16</v>
      </c>
      <c r="D25" s="14">
        <v>254.0</v>
      </c>
      <c r="E25" s="16"/>
      <c r="F25" s="14">
        <f t="shared" si="1"/>
        <v>254</v>
      </c>
      <c r="G25" s="19">
        <f t="shared" si="2"/>
        <v>7784</v>
      </c>
    </row>
    <row r="26">
      <c r="A26" s="12">
        <v>23.0</v>
      </c>
      <c r="B26" s="12" t="s">
        <v>12</v>
      </c>
      <c r="C26" s="13" t="s">
        <v>16</v>
      </c>
      <c r="D26" s="14">
        <v>266.0</v>
      </c>
      <c r="E26" s="16"/>
      <c r="F26" s="14">
        <f t="shared" si="1"/>
        <v>266</v>
      </c>
      <c r="G26" s="19">
        <f t="shared" si="2"/>
        <v>8050</v>
      </c>
    </row>
    <row r="27">
      <c r="A27" s="12">
        <v>24.0</v>
      </c>
      <c r="B27" s="12" t="s">
        <v>281</v>
      </c>
      <c r="C27" s="13" t="s">
        <v>293</v>
      </c>
      <c r="D27" s="14">
        <v>476.0</v>
      </c>
      <c r="E27" s="14">
        <v>499.0</v>
      </c>
      <c r="F27" s="14">
        <f t="shared" si="1"/>
        <v>975</v>
      </c>
      <c r="G27" s="19">
        <f t="shared" si="2"/>
        <v>9025</v>
      </c>
    </row>
    <row r="28">
      <c r="A28" s="24"/>
      <c r="B28" s="24"/>
      <c r="C28" s="26"/>
      <c r="D28" s="27">
        <v>27.0</v>
      </c>
      <c r="E28" s="28"/>
      <c r="F28" s="27">
        <f>SUM(F4:F27)</f>
        <v>9025</v>
      </c>
      <c r="G28" s="29">
        <f>G27</f>
        <v>9025</v>
      </c>
    </row>
    <row r="29">
      <c r="C29" s="30"/>
      <c r="G29" s="30"/>
    </row>
    <row r="30">
      <c r="A30" s="4" t="s">
        <v>316</v>
      </c>
      <c r="B30" s="5"/>
      <c r="C30" s="5"/>
      <c r="D30" s="5"/>
      <c r="E30" s="5"/>
      <c r="F30" s="5"/>
      <c r="G30" s="6"/>
    </row>
    <row r="31">
      <c r="A31" s="7"/>
      <c r="B31" s="8"/>
      <c r="C31" s="8"/>
      <c r="D31" s="8"/>
      <c r="E31" s="8"/>
      <c r="F31" s="8"/>
      <c r="G31" s="9"/>
    </row>
    <row r="32">
      <c r="A32" s="10"/>
      <c r="B32" s="10" t="s">
        <v>6</v>
      </c>
      <c r="C32" s="11" t="s">
        <v>7</v>
      </c>
      <c r="D32" s="10" t="s">
        <v>8</v>
      </c>
      <c r="E32" s="10" t="s">
        <v>9</v>
      </c>
      <c r="F32" s="10" t="s">
        <v>10</v>
      </c>
      <c r="G32" s="11" t="s">
        <v>11</v>
      </c>
    </row>
    <row r="33">
      <c r="A33" s="12">
        <v>1.0</v>
      </c>
      <c r="B33" s="12" t="s">
        <v>148</v>
      </c>
      <c r="C33" s="13" t="s">
        <v>162</v>
      </c>
      <c r="D33" s="14">
        <v>290.0</v>
      </c>
      <c r="E33" s="16"/>
      <c r="F33" s="14">
        <f t="shared" ref="F33:F61" si="3">SUM(D33:E33)</f>
        <v>290</v>
      </c>
      <c r="G33" s="19">
        <f>F33</f>
        <v>290</v>
      </c>
    </row>
    <row r="34">
      <c r="A34" s="12">
        <v>2.0</v>
      </c>
      <c r="B34" s="12" t="s">
        <v>148</v>
      </c>
      <c r="C34" s="13" t="s">
        <v>162</v>
      </c>
      <c r="D34" s="14">
        <v>304.0</v>
      </c>
      <c r="E34" s="16"/>
      <c r="F34" s="14">
        <f t="shared" si="3"/>
        <v>304</v>
      </c>
      <c r="G34" s="19">
        <f t="shared" ref="G34:G61" si="4">G33+F34</f>
        <v>594</v>
      </c>
    </row>
    <row r="35">
      <c r="A35" s="12">
        <v>3.0</v>
      </c>
      <c r="B35" s="12" t="s">
        <v>148</v>
      </c>
      <c r="C35" s="13" t="s">
        <v>162</v>
      </c>
      <c r="D35" s="14">
        <v>320.0</v>
      </c>
      <c r="E35" s="16"/>
      <c r="F35" s="14">
        <f t="shared" si="3"/>
        <v>320</v>
      </c>
      <c r="G35" s="19">
        <f t="shared" si="4"/>
        <v>914</v>
      </c>
    </row>
    <row r="36">
      <c r="A36" s="12">
        <v>4.0</v>
      </c>
      <c r="B36" s="12" t="s">
        <v>99</v>
      </c>
      <c r="C36" s="13" t="s">
        <v>137</v>
      </c>
      <c r="D36" s="14">
        <v>336.0</v>
      </c>
      <c r="E36" s="16"/>
      <c r="F36" s="14">
        <f t="shared" si="3"/>
        <v>336</v>
      </c>
      <c r="G36" s="19">
        <f t="shared" si="4"/>
        <v>1250</v>
      </c>
    </row>
    <row r="37">
      <c r="A37" s="12">
        <v>5.0</v>
      </c>
      <c r="B37" s="12" t="s">
        <v>148</v>
      </c>
      <c r="C37" s="13" t="s">
        <v>162</v>
      </c>
      <c r="D37" s="14">
        <v>352.0</v>
      </c>
      <c r="E37" s="16"/>
      <c r="F37" s="14">
        <f t="shared" si="3"/>
        <v>352</v>
      </c>
      <c r="G37" s="19">
        <f t="shared" si="4"/>
        <v>1602</v>
      </c>
    </row>
    <row r="38">
      <c r="A38" s="12">
        <v>6.0</v>
      </c>
      <c r="B38" s="12" t="s">
        <v>148</v>
      </c>
      <c r="C38" s="13" t="s">
        <v>162</v>
      </c>
      <c r="D38" s="14">
        <v>370.0</v>
      </c>
      <c r="E38" s="16"/>
      <c r="F38" s="14">
        <f t="shared" si="3"/>
        <v>370</v>
      </c>
      <c r="G38" s="19">
        <f t="shared" si="4"/>
        <v>1972</v>
      </c>
    </row>
    <row r="39">
      <c r="A39" s="12">
        <v>7.0</v>
      </c>
      <c r="B39" s="12" t="s">
        <v>99</v>
      </c>
      <c r="C39" s="13" t="s">
        <v>137</v>
      </c>
      <c r="D39" s="14">
        <v>389.0</v>
      </c>
      <c r="E39" s="16"/>
      <c r="F39" s="14">
        <f t="shared" si="3"/>
        <v>389</v>
      </c>
      <c r="G39" s="19">
        <f t="shared" si="4"/>
        <v>2361</v>
      </c>
    </row>
    <row r="40">
      <c r="A40" s="12">
        <v>8.0</v>
      </c>
      <c r="B40" s="12" t="s">
        <v>148</v>
      </c>
      <c r="C40" s="13" t="s">
        <v>162</v>
      </c>
      <c r="D40" s="14">
        <v>408.0</v>
      </c>
      <c r="E40" s="16"/>
      <c r="F40" s="14">
        <f t="shared" si="3"/>
        <v>408</v>
      </c>
      <c r="G40" s="19">
        <f t="shared" si="4"/>
        <v>2769</v>
      </c>
    </row>
    <row r="41">
      <c r="A41" s="12">
        <v>9.0</v>
      </c>
      <c r="B41" s="12" t="s">
        <v>148</v>
      </c>
      <c r="C41" s="13" t="s">
        <v>162</v>
      </c>
      <c r="D41" s="14">
        <v>428.0</v>
      </c>
      <c r="E41" s="16"/>
      <c r="F41" s="14">
        <f t="shared" si="3"/>
        <v>428</v>
      </c>
      <c r="G41" s="19">
        <f t="shared" si="4"/>
        <v>3197</v>
      </c>
    </row>
    <row r="42">
      <c r="A42" s="12">
        <v>10.0</v>
      </c>
      <c r="B42" s="12" t="s">
        <v>160</v>
      </c>
      <c r="C42" s="13" t="s">
        <v>169</v>
      </c>
      <c r="D42" s="14">
        <v>450.0</v>
      </c>
      <c r="E42" s="16"/>
      <c r="F42" s="14">
        <f t="shared" si="3"/>
        <v>450</v>
      </c>
      <c r="G42" s="19">
        <f t="shared" si="4"/>
        <v>3647</v>
      </c>
    </row>
    <row r="43">
      <c r="A43" s="12">
        <v>11.0</v>
      </c>
      <c r="B43" s="12" t="s">
        <v>99</v>
      </c>
      <c r="C43" s="13" t="s">
        <v>137</v>
      </c>
      <c r="D43" s="14">
        <v>472.0</v>
      </c>
      <c r="E43" s="16"/>
      <c r="F43" s="14">
        <f t="shared" si="3"/>
        <v>472</v>
      </c>
      <c r="G43" s="19">
        <f t="shared" si="4"/>
        <v>4119</v>
      </c>
    </row>
    <row r="44">
      <c r="A44" s="12">
        <v>12.0</v>
      </c>
      <c r="B44" s="12" t="s">
        <v>148</v>
      </c>
      <c r="C44" s="13" t="s">
        <v>162</v>
      </c>
      <c r="D44" s="14">
        <v>304.0</v>
      </c>
      <c r="E44" s="16"/>
      <c r="F44" s="14">
        <f t="shared" si="3"/>
        <v>304</v>
      </c>
      <c r="G44" s="19">
        <f t="shared" si="4"/>
        <v>4423</v>
      </c>
    </row>
    <row r="45">
      <c r="A45" s="12">
        <v>13.0</v>
      </c>
      <c r="B45" s="12" t="s">
        <v>160</v>
      </c>
      <c r="C45" s="13" t="s">
        <v>169</v>
      </c>
      <c r="D45" s="14">
        <v>320.0</v>
      </c>
      <c r="E45" s="16"/>
      <c r="F45" s="14">
        <f t="shared" si="3"/>
        <v>320</v>
      </c>
      <c r="G45" s="19">
        <f t="shared" si="4"/>
        <v>4743</v>
      </c>
    </row>
    <row r="46">
      <c r="A46" s="12">
        <v>14.0</v>
      </c>
      <c r="B46" s="12" t="s">
        <v>151</v>
      </c>
      <c r="C46" s="13" t="s">
        <v>164</v>
      </c>
      <c r="D46" s="14">
        <v>290.0</v>
      </c>
      <c r="E46" s="16"/>
      <c r="F46" s="14">
        <f t="shared" si="3"/>
        <v>290</v>
      </c>
      <c r="G46" s="19">
        <f t="shared" si="4"/>
        <v>5033</v>
      </c>
    </row>
    <row r="47">
      <c r="A47" s="12">
        <v>15.0</v>
      </c>
      <c r="B47" s="12" t="s">
        <v>151</v>
      </c>
      <c r="C47" s="13" t="s">
        <v>164</v>
      </c>
      <c r="D47" s="14">
        <v>304.0</v>
      </c>
      <c r="E47" s="16"/>
      <c r="F47" s="14">
        <f t="shared" si="3"/>
        <v>304</v>
      </c>
      <c r="G47" s="19">
        <f t="shared" si="4"/>
        <v>5337</v>
      </c>
    </row>
    <row r="48">
      <c r="A48" s="12">
        <v>16.0</v>
      </c>
      <c r="B48" s="12" t="s">
        <v>157</v>
      </c>
      <c r="C48" s="13" t="s">
        <v>179</v>
      </c>
      <c r="D48" s="14">
        <v>320.0</v>
      </c>
      <c r="E48" s="16"/>
      <c r="F48" s="14">
        <f t="shared" si="3"/>
        <v>320</v>
      </c>
      <c r="G48" s="19">
        <f t="shared" si="4"/>
        <v>5657</v>
      </c>
    </row>
    <row r="49">
      <c r="A49" s="12">
        <v>17.0</v>
      </c>
      <c r="B49" s="12" t="s">
        <v>153</v>
      </c>
      <c r="C49" s="13" t="s">
        <v>167</v>
      </c>
      <c r="D49" s="14">
        <v>571.0</v>
      </c>
      <c r="E49" s="14">
        <v>599.0</v>
      </c>
      <c r="F49" s="14">
        <f t="shared" si="3"/>
        <v>1170</v>
      </c>
      <c r="G49" s="19">
        <f t="shared" si="4"/>
        <v>6827</v>
      </c>
    </row>
    <row r="50">
      <c r="A50" s="12">
        <v>18.0</v>
      </c>
      <c r="B50" s="12" t="s">
        <v>151</v>
      </c>
      <c r="C50" s="13" t="s">
        <v>164</v>
      </c>
      <c r="D50" s="14">
        <v>304.0</v>
      </c>
      <c r="E50" s="16"/>
      <c r="F50" s="14">
        <f t="shared" si="3"/>
        <v>304</v>
      </c>
      <c r="G50" s="19">
        <f t="shared" si="4"/>
        <v>7131</v>
      </c>
    </row>
    <row r="51">
      <c r="A51" s="12">
        <v>19.0</v>
      </c>
      <c r="B51" s="12" t="s">
        <v>151</v>
      </c>
      <c r="C51" s="13" t="s">
        <v>164</v>
      </c>
      <c r="D51" s="14">
        <v>320.0</v>
      </c>
      <c r="E51" s="16"/>
      <c r="F51" s="14">
        <f t="shared" si="3"/>
        <v>320</v>
      </c>
      <c r="G51" s="19">
        <f t="shared" si="4"/>
        <v>7451</v>
      </c>
    </row>
    <row r="52">
      <c r="A52" s="12">
        <v>20.0</v>
      </c>
      <c r="B52" s="12" t="s">
        <v>93</v>
      </c>
      <c r="C52" s="13" t="s">
        <v>136</v>
      </c>
      <c r="D52" s="14">
        <v>336.0</v>
      </c>
      <c r="E52" s="16"/>
      <c r="F52" s="14">
        <f t="shared" si="3"/>
        <v>336</v>
      </c>
      <c r="G52" s="19">
        <f t="shared" si="4"/>
        <v>7787</v>
      </c>
    </row>
    <row r="53">
      <c r="A53" s="12">
        <v>21.0</v>
      </c>
      <c r="B53" s="12" t="s">
        <v>151</v>
      </c>
      <c r="C53" s="13" t="s">
        <v>164</v>
      </c>
      <c r="D53" s="14">
        <v>352.0</v>
      </c>
      <c r="E53" s="16"/>
      <c r="F53" s="14">
        <f t="shared" si="3"/>
        <v>352</v>
      </c>
      <c r="G53" s="19">
        <f t="shared" si="4"/>
        <v>8139</v>
      </c>
    </row>
    <row r="54">
      <c r="A54" s="12">
        <v>22.0</v>
      </c>
      <c r="B54" s="12" t="s">
        <v>151</v>
      </c>
      <c r="C54" s="13" t="s">
        <v>164</v>
      </c>
      <c r="D54" s="14">
        <v>370.0</v>
      </c>
      <c r="E54" s="16"/>
      <c r="F54" s="14">
        <f t="shared" si="3"/>
        <v>370</v>
      </c>
      <c r="G54" s="19">
        <f t="shared" si="4"/>
        <v>8509</v>
      </c>
    </row>
    <row r="55">
      <c r="A55" s="12">
        <v>23.0</v>
      </c>
      <c r="B55" s="12" t="s">
        <v>93</v>
      </c>
      <c r="C55" s="13" t="s">
        <v>136</v>
      </c>
      <c r="D55" s="14">
        <v>389.0</v>
      </c>
      <c r="E55" s="16"/>
      <c r="F55" s="14">
        <f t="shared" si="3"/>
        <v>389</v>
      </c>
      <c r="G55" s="19">
        <f t="shared" si="4"/>
        <v>8898</v>
      </c>
    </row>
    <row r="56">
      <c r="A56" s="12">
        <v>24.0</v>
      </c>
      <c r="B56" s="12" t="s">
        <v>151</v>
      </c>
      <c r="C56" s="13" t="s">
        <v>164</v>
      </c>
      <c r="D56" s="14">
        <v>408.0</v>
      </c>
      <c r="E56" s="16"/>
      <c r="F56" s="14">
        <f t="shared" si="3"/>
        <v>408</v>
      </c>
      <c r="G56" s="19">
        <f t="shared" si="4"/>
        <v>9306</v>
      </c>
    </row>
    <row r="57">
      <c r="A57" s="12">
        <v>25.0</v>
      </c>
      <c r="B57" s="12" t="s">
        <v>153</v>
      </c>
      <c r="C57" s="13" t="s">
        <v>167</v>
      </c>
      <c r="D57" s="14">
        <v>729.0</v>
      </c>
      <c r="E57" s="14">
        <v>765.0</v>
      </c>
      <c r="F57" s="14">
        <f t="shared" si="3"/>
        <v>1494</v>
      </c>
      <c r="G57" s="19">
        <f t="shared" si="4"/>
        <v>10800</v>
      </c>
    </row>
    <row r="58">
      <c r="A58" s="12">
        <v>26.0</v>
      </c>
      <c r="B58" s="12" t="s">
        <v>151</v>
      </c>
      <c r="C58" s="13" t="s">
        <v>164</v>
      </c>
      <c r="D58" s="14">
        <v>428.0</v>
      </c>
      <c r="E58" s="16"/>
      <c r="F58" s="14">
        <f t="shared" si="3"/>
        <v>428</v>
      </c>
      <c r="G58" s="19">
        <f t="shared" si="4"/>
        <v>11228</v>
      </c>
    </row>
    <row r="59">
      <c r="A59" s="12">
        <v>27.0</v>
      </c>
      <c r="B59" s="12" t="s">
        <v>157</v>
      </c>
      <c r="C59" s="13" t="s">
        <v>179</v>
      </c>
      <c r="D59" s="14">
        <v>450.0</v>
      </c>
      <c r="E59" s="16"/>
      <c r="F59" s="14">
        <f t="shared" si="3"/>
        <v>450</v>
      </c>
      <c r="G59" s="19">
        <f t="shared" si="4"/>
        <v>11678</v>
      </c>
    </row>
    <row r="60">
      <c r="A60" s="12">
        <v>28.0</v>
      </c>
      <c r="B60" s="12" t="s">
        <v>93</v>
      </c>
      <c r="C60" s="13" t="s">
        <v>136</v>
      </c>
      <c r="D60" s="14">
        <v>472.0</v>
      </c>
      <c r="E60" s="16"/>
      <c r="F60" s="14">
        <f t="shared" si="3"/>
        <v>472</v>
      </c>
      <c r="G60" s="19">
        <f t="shared" si="4"/>
        <v>12150</v>
      </c>
    </row>
    <row r="61">
      <c r="A61" s="12">
        <v>29.0</v>
      </c>
      <c r="B61" s="12" t="s">
        <v>165</v>
      </c>
      <c r="C61" s="13" t="s">
        <v>183</v>
      </c>
      <c r="D61" s="14">
        <v>2234.0</v>
      </c>
      <c r="E61" s="16"/>
      <c r="F61" s="14">
        <f t="shared" si="3"/>
        <v>2234</v>
      </c>
      <c r="G61" s="19">
        <f t="shared" si="4"/>
        <v>14384</v>
      </c>
    </row>
    <row r="62">
      <c r="A62" s="24"/>
      <c r="B62" s="24"/>
      <c r="C62" s="26"/>
      <c r="D62" s="27">
        <v>31.0</v>
      </c>
      <c r="E62" s="28"/>
      <c r="F62" s="27">
        <f>SUM(F33:F61)</f>
        <v>14384</v>
      </c>
      <c r="G62" s="29">
        <f>G61</f>
        <v>14384</v>
      </c>
    </row>
    <row r="63">
      <c r="C63" s="30"/>
      <c r="G63" s="30"/>
    </row>
    <row r="64">
      <c r="A64" s="4" t="s">
        <v>320</v>
      </c>
      <c r="B64" s="5"/>
      <c r="C64" s="5"/>
      <c r="D64" s="5"/>
      <c r="E64" s="5"/>
      <c r="F64" s="5"/>
      <c r="G64" s="6"/>
    </row>
    <row r="65">
      <c r="A65" s="7"/>
      <c r="B65" s="8"/>
      <c r="C65" s="8"/>
      <c r="D65" s="8"/>
      <c r="E65" s="8"/>
      <c r="F65" s="8"/>
      <c r="G65" s="9"/>
    </row>
    <row r="66">
      <c r="A66" s="10"/>
      <c r="B66" s="10" t="s">
        <v>6</v>
      </c>
      <c r="C66" s="11" t="s">
        <v>7</v>
      </c>
      <c r="D66" s="10" t="s">
        <v>8</v>
      </c>
      <c r="E66" s="10" t="s">
        <v>9</v>
      </c>
      <c r="F66" s="10" t="s">
        <v>10</v>
      </c>
      <c r="G66" s="11" t="s">
        <v>11</v>
      </c>
    </row>
    <row r="67">
      <c r="A67" s="12">
        <v>1.0</v>
      </c>
      <c r="B67" s="12" t="s">
        <v>67</v>
      </c>
      <c r="C67" s="13" t="s">
        <v>186</v>
      </c>
      <c r="D67" s="14">
        <v>418.0</v>
      </c>
      <c r="E67" s="16"/>
      <c r="F67" s="14">
        <f t="shared" ref="F67:F99" si="5">SUM(D67:E67)</f>
        <v>418</v>
      </c>
      <c r="G67" s="19">
        <f>F67</f>
        <v>418</v>
      </c>
    </row>
    <row r="68">
      <c r="A68" s="12">
        <v>2.0</v>
      </c>
      <c r="B68" s="12" t="s">
        <v>67</v>
      </c>
      <c r="C68" s="13" t="s">
        <v>186</v>
      </c>
      <c r="D68" s="14">
        <v>439.0</v>
      </c>
      <c r="E68" s="16"/>
      <c r="F68" s="14">
        <f t="shared" si="5"/>
        <v>439</v>
      </c>
      <c r="G68" s="19">
        <f t="shared" ref="G68:G99" si="6">G67+F68</f>
        <v>857</v>
      </c>
    </row>
    <row r="69">
      <c r="A69" s="12">
        <v>3.0</v>
      </c>
      <c r="B69" s="12" t="s">
        <v>67</v>
      </c>
      <c r="C69" s="13" t="s">
        <v>186</v>
      </c>
      <c r="D69" s="14">
        <v>461.0</v>
      </c>
      <c r="E69" s="16"/>
      <c r="F69" s="14">
        <f t="shared" si="5"/>
        <v>461</v>
      </c>
      <c r="G69" s="19">
        <f t="shared" si="6"/>
        <v>1318</v>
      </c>
    </row>
    <row r="70">
      <c r="A70" s="12">
        <v>4.0</v>
      </c>
      <c r="B70" s="12" t="s">
        <v>173</v>
      </c>
      <c r="C70" s="13" t="s">
        <v>195</v>
      </c>
      <c r="D70" s="14">
        <v>461.0</v>
      </c>
      <c r="E70" s="16"/>
      <c r="F70" s="14">
        <f t="shared" si="5"/>
        <v>461</v>
      </c>
      <c r="G70" s="19">
        <f t="shared" si="6"/>
        <v>1779</v>
      </c>
    </row>
    <row r="71">
      <c r="A71" s="12">
        <v>5.0</v>
      </c>
      <c r="B71" s="12" t="s">
        <v>67</v>
      </c>
      <c r="C71" s="13" t="s">
        <v>186</v>
      </c>
      <c r="D71" s="14">
        <v>439.0</v>
      </c>
      <c r="E71" s="16"/>
      <c r="F71" s="14">
        <f t="shared" si="5"/>
        <v>439</v>
      </c>
      <c r="G71" s="19">
        <f t="shared" si="6"/>
        <v>2218</v>
      </c>
    </row>
    <row r="72">
      <c r="A72" s="12">
        <v>6.0</v>
      </c>
      <c r="B72" s="12" t="s">
        <v>67</v>
      </c>
      <c r="C72" s="13" t="s">
        <v>186</v>
      </c>
      <c r="D72" s="14">
        <v>461.0</v>
      </c>
      <c r="E72" s="16"/>
      <c r="F72" s="14">
        <f t="shared" si="5"/>
        <v>461</v>
      </c>
      <c r="G72" s="19">
        <f t="shared" si="6"/>
        <v>2679</v>
      </c>
    </row>
    <row r="73">
      <c r="A73" s="12">
        <v>7.0</v>
      </c>
      <c r="B73" s="12" t="s">
        <v>173</v>
      </c>
      <c r="C73" s="13" t="s">
        <v>195</v>
      </c>
      <c r="D73" s="14">
        <v>461.0</v>
      </c>
      <c r="E73" s="16"/>
      <c r="F73" s="14">
        <f t="shared" si="5"/>
        <v>461</v>
      </c>
      <c r="G73" s="19">
        <f t="shared" si="6"/>
        <v>3140</v>
      </c>
    </row>
    <row r="74">
      <c r="A74" s="12">
        <v>8.0</v>
      </c>
      <c r="B74" s="12" t="s">
        <v>180</v>
      </c>
      <c r="C74" s="13" t="s">
        <v>196</v>
      </c>
      <c r="D74" s="14">
        <v>823.0</v>
      </c>
      <c r="E74" s="14">
        <v>864.0</v>
      </c>
      <c r="F74" s="14">
        <f t="shared" si="5"/>
        <v>1687</v>
      </c>
      <c r="G74" s="19">
        <f t="shared" si="6"/>
        <v>4827</v>
      </c>
    </row>
    <row r="75">
      <c r="A75" s="12">
        <v>9.0</v>
      </c>
      <c r="B75" s="12" t="s">
        <v>170</v>
      </c>
      <c r="C75" s="13" t="s">
        <v>192</v>
      </c>
      <c r="D75" s="14">
        <v>418.0</v>
      </c>
      <c r="E75" s="16"/>
      <c r="F75" s="14">
        <f t="shared" si="5"/>
        <v>418</v>
      </c>
      <c r="G75" s="19">
        <f t="shared" si="6"/>
        <v>5245</v>
      </c>
    </row>
    <row r="76">
      <c r="A76" s="12">
        <v>10.0</v>
      </c>
      <c r="B76" s="12" t="s">
        <v>170</v>
      </c>
      <c r="C76" s="13" t="s">
        <v>192</v>
      </c>
      <c r="D76" s="14">
        <v>439.0</v>
      </c>
      <c r="E76" s="16"/>
      <c r="F76" s="14">
        <f t="shared" si="5"/>
        <v>439</v>
      </c>
      <c r="G76" s="19">
        <f t="shared" si="6"/>
        <v>5684</v>
      </c>
    </row>
    <row r="77">
      <c r="A77" s="12">
        <v>11.0</v>
      </c>
      <c r="B77" s="12" t="s">
        <v>170</v>
      </c>
      <c r="C77" s="13" t="s">
        <v>192</v>
      </c>
      <c r="D77" s="14">
        <v>461.0</v>
      </c>
      <c r="E77" s="16"/>
      <c r="F77" s="14">
        <f t="shared" si="5"/>
        <v>461</v>
      </c>
      <c r="G77" s="19">
        <f t="shared" si="6"/>
        <v>6145</v>
      </c>
    </row>
    <row r="78">
      <c r="A78" s="12">
        <v>12.0</v>
      </c>
      <c r="B78" s="12" t="s">
        <v>177</v>
      </c>
      <c r="C78" s="13" t="s">
        <v>190</v>
      </c>
      <c r="D78" s="14">
        <v>461.0</v>
      </c>
      <c r="E78" s="16"/>
      <c r="F78" s="14">
        <f t="shared" si="5"/>
        <v>461</v>
      </c>
      <c r="G78" s="19">
        <f t="shared" si="6"/>
        <v>6606</v>
      </c>
    </row>
    <row r="79">
      <c r="A79" s="12">
        <v>13.0</v>
      </c>
      <c r="B79" s="12" t="s">
        <v>170</v>
      </c>
      <c r="C79" s="13" t="s">
        <v>192</v>
      </c>
      <c r="D79" s="14">
        <v>439.0</v>
      </c>
      <c r="E79" s="16"/>
      <c r="F79" s="14">
        <f t="shared" si="5"/>
        <v>439</v>
      </c>
      <c r="G79" s="19">
        <f t="shared" si="6"/>
        <v>7045</v>
      </c>
    </row>
    <row r="80">
      <c r="A80" s="12">
        <v>14.0</v>
      </c>
      <c r="B80" s="12" t="s">
        <v>170</v>
      </c>
      <c r="C80" s="13" t="s">
        <v>192</v>
      </c>
      <c r="D80" s="14">
        <v>461.0</v>
      </c>
      <c r="E80" s="16"/>
      <c r="F80" s="14">
        <f t="shared" si="5"/>
        <v>461</v>
      </c>
      <c r="G80" s="19">
        <f t="shared" si="6"/>
        <v>7506</v>
      </c>
    </row>
    <row r="81">
      <c r="A81" s="12">
        <v>15.0</v>
      </c>
      <c r="B81" s="12" t="s">
        <v>177</v>
      </c>
      <c r="C81" s="13" t="s">
        <v>190</v>
      </c>
      <c r="D81" s="14">
        <v>461.0</v>
      </c>
      <c r="E81" s="16"/>
      <c r="F81" s="14">
        <f t="shared" si="5"/>
        <v>461</v>
      </c>
      <c r="G81" s="19">
        <f t="shared" si="6"/>
        <v>7967</v>
      </c>
    </row>
    <row r="82">
      <c r="A82" s="12">
        <v>16.0</v>
      </c>
      <c r="B82" s="12" t="s">
        <v>104</v>
      </c>
      <c r="C82" s="13" t="s">
        <v>132</v>
      </c>
      <c r="D82" s="14">
        <v>484.0</v>
      </c>
      <c r="E82" s="16"/>
      <c r="F82" s="14">
        <f t="shared" si="5"/>
        <v>484</v>
      </c>
      <c r="G82" s="19">
        <f t="shared" si="6"/>
        <v>8451</v>
      </c>
    </row>
    <row r="83">
      <c r="A83" s="12">
        <v>17.0</v>
      </c>
      <c r="B83" s="12" t="s">
        <v>322</v>
      </c>
      <c r="C83" s="13" t="s">
        <v>345</v>
      </c>
      <c r="D83" s="14">
        <v>2288.0</v>
      </c>
      <c r="E83" s="16"/>
      <c r="F83" s="14">
        <f t="shared" si="5"/>
        <v>2288</v>
      </c>
      <c r="G83" s="19">
        <f t="shared" si="6"/>
        <v>10739</v>
      </c>
    </row>
    <row r="84">
      <c r="A84" s="12">
        <v>18.0</v>
      </c>
      <c r="B84" s="12" t="s">
        <v>104</v>
      </c>
      <c r="C84" s="13" t="s">
        <v>132</v>
      </c>
      <c r="D84" s="14">
        <v>418.0</v>
      </c>
      <c r="E84" s="16"/>
      <c r="F84" s="14">
        <f t="shared" si="5"/>
        <v>418</v>
      </c>
      <c r="G84" s="19">
        <f t="shared" si="6"/>
        <v>11157</v>
      </c>
    </row>
    <row r="85">
      <c r="A85" s="12">
        <v>19.0</v>
      </c>
      <c r="B85" s="12" t="s">
        <v>170</v>
      </c>
      <c r="C85" s="13" t="s">
        <v>192</v>
      </c>
      <c r="D85" s="14">
        <v>439.0</v>
      </c>
      <c r="E85" s="16"/>
      <c r="F85" s="14">
        <f t="shared" si="5"/>
        <v>439</v>
      </c>
      <c r="G85" s="19">
        <f t="shared" si="6"/>
        <v>11596</v>
      </c>
    </row>
    <row r="86">
      <c r="A86" s="12">
        <v>20.0</v>
      </c>
      <c r="B86" s="12" t="s">
        <v>170</v>
      </c>
      <c r="C86" s="13" t="s">
        <v>192</v>
      </c>
      <c r="D86" s="14">
        <v>461.0</v>
      </c>
      <c r="E86" s="16"/>
      <c r="F86" s="14">
        <f t="shared" si="5"/>
        <v>461</v>
      </c>
      <c r="G86" s="19">
        <f t="shared" si="6"/>
        <v>12057</v>
      </c>
    </row>
    <row r="87">
      <c r="A87" s="12">
        <v>21.0</v>
      </c>
      <c r="B87" s="12" t="s">
        <v>177</v>
      </c>
      <c r="C87" s="13" t="s">
        <v>190</v>
      </c>
      <c r="D87" s="14">
        <v>461.0</v>
      </c>
      <c r="E87" s="16"/>
      <c r="F87" s="14">
        <f t="shared" si="5"/>
        <v>461</v>
      </c>
      <c r="G87" s="19">
        <f t="shared" si="6"/>
        <v>12518</v>
      </c>
    </row>
    <row r="88">
      <c r="A88" s="12">
        <v>22.0</v>
      </c>
      <c r="B88" s="12" t="s">
        <v>170</v>
      </c>
      <c r="C88" s="13" t="s">
        <v>192</v>
      </c>
      <c r="D88" s="14">
        <v>439.0</v>
      </c>
      <c r="E88" s="16"/>
      <c r="F88" s="14">
        <f t="shared" si="5"/>
        <v>439</v>
      </c>
      <c r="G88" s="19">
        <f t="shared" si="6"/>
        <v>12957</v>
      </c>
    </row>
    <row r="89">
      <c r="A89" s="12">
        <v>23.0</v>
      </c>
      <c r="B89" s="12" t="s">
        <v>170</v>
      </c>
      <c r="C89" s="13" t="s">
        <v>192</v>
      </c>
      <c r="D89" s="14">
        <v>461.0</v>
      </c>
      <c r="E89" s="16"/>
      <c r="F89" s="14">
        <f t="shared" si="5"/>
        <v>461</v>
      </c>
      <c r="G89" s="19">
        <f t="shared" si="6"/>
        <v>13418</v>
      </c>
    </row>
    <row r="90">
      <c r="A90" s="12">
        <v>24.0</v>
      </c>
      <c r="B90" s="12" t="s">
        <v>177</v>
      </c>
      <c r="C90" s="13" t="s">
        <v>190</v>
      </c>
      <c r="D90" s="14">
        <v>461.0</v>
      </c>
      <c r="E90" s="16"/>
      <c r="F90" s="14">
        <f t="shared" si="5"/>
        <v>461</v>
      </c>
      <c r="G90" s="19">
        <f t="shared" si="6"/>
        <v>13879</v>
      </c>
    </row>
    <row r="91">
      <c r="A91" s="12">
        <v>25.0</v>
      </c>
      <c r="B91" s="12" t="s">
        <v>106</v>
      </c>
      <c r="C91" s="13" t="s">
        <v>133</v>
      </c>
      <c r="D91" s="14">
        <v>484.0</v>
      </c>
      <c r="E91" s="16"/>
      <c r="F91" s="14">
        <f t="shared" si="5"/>
        <v>484</v>
      </c>
      <c r="G91" s="19">
        <f t="shared" si="6"/>
        <v>14363</v>
      </c>
    </row>
    <row r="92">
      <c r="A92" s="12">
        <v>26.0</v>
      </c>
      <c r="B92" s="12" t="s">
        <v>106</v>
      </c>
      <c r="C92" s="13" t="s">
        <v>133</v>
      </c>
      <c r="D92" s="14">
        <v>418.0</v>
      </c>
      <c r="E92" s="16"/>
      <c r="F92" s="14">
        <f t="shared" si="5"/>
        <v>418</v>
      </c>
      <c r="G92" s="19">
        <f t="shared" si="6"/>
        <v>14781</v>
      </c>
    </row>
    <row r="93">
      <c r="A93" s="12">
        <v>27.0</v>
      </c>
      <c r="B93" s="12" t="s">
        <v>67</v>
      </c>
      <c r="C93" s="13" t="s">
        <v>186</v>
      </c>
      <c r="D93" s="14">
        <v>439.0</v>
      </c>
      <c r="E93" s="16"/>
      <c r="F93" s="14">
        <f t="shared" si="5"/>
        <v>439</v>
      </c>
      <c r="G93" s="19">
        <f t="shared" si="6"/>
        <v>15220</v>
      </c>
    </row>
    <row r="94">
      <c r="A94" s="12">
        <v>28.0</v>
      </c>
      <c r="B94" s="12" t="s">
        <v>67</v>
      </c>
      <c r="C94" s="13" t="s">
        <v>186</v>
      </c>
      <c r="D94" s="14">
        <v>461.0</v>
      </c>
      <c r="E94" s="16"/>
      <c r="F94" s="14">
        <f t="shared" si="5"/>
        <v>461</v>
      </c>
      <c r="G94" s="19">
        <f t="shared" si="6"/>
        <v>15681</v>
      </c>
    </row>
    <row r="95">
      <c r="A95" s="12">
        <v>29.0</v>
      </c>
      <c r="B95" s="12" t="s">
        <v>173</v>
      </c>
      <c r="C95" s="13" t="s">
        <v>195</v>
      </c>
      <c r="D95" s="14">
        <v>461.0</v>
      </c>
      <c r="E95" s="16"/>
      <c r="F95" s="14">
        <f t="shared" si="5"/>
        <v>461</v>
      </c>
      <c r="G95" s="19">
        <f t="shared" si="6"/>
        <v>16142</v>
      </c>
    </row>
    <row r="96">
      <c r="A96" s="12">
        <v>30.0</v>
      </c>
      <c r="B96" s="12" t="s">
        <v>67</v>
      </c>
      <c r="C96" s="13" t="s">
        <v>186</v>
      </c>
      <c r="D96" s="14">
        <v>439.0</v>
      </c>
      <c r="E96" s="16"/>
      <c r="F96" s="14">
        <f t="shared" si="5"/>
        <v>439</v>
      </c>
      <c r="G96" s="19">
        <f t="shared" si="6"/>
        <v>16581</v>
      </c>
    </row>
    <row r="97">
      <c r="A97" s="12">
        <v>31.0</v>
      </c>
      <c r="B97" s="12" t="s">
        <v>67</v>
      </c>
      <c r="C97" s="13" t="s">
        <v>186</v>
      </c>
      <c r="D97" s="14">
        <v>461.0</v>
      </c>
      <c r="E97" s="16"/>
      <c r="F97" s="14">
        <f t="shared" si="5"/>
        <v>461</v>
      </c>
      <c r="G97" s="19">
        <f t="shared" si="6"/>
        <v>17042</v>
      </c>
    </row>
    <row r="98">
      <c r="A98" s="12">
        <v>32.0</v>
      </c>
      <c r="B98" s="12" t="s">
        <v>173</v>
      </c>
      <c r="C98" s="13" t="s">
        <v>195</v>
      </c>
      <c r="D98" s="14">
        <v>461.0</v>
      </c>
      <c r="E98" s="16"/>
      <c r="F98" s="14">
        <f t="shared" si="5"/>
        <v>461</v>
      </c>
      <c r="G98" s="19">
        <f t="shared" si="6"/>
        <v>17503</v>
      </c>
    </row>
    <row r="99">
      <c r="A99" s="12">
        <v>33.0</v>
      </c>
      <c r="B99" s="12" t="s">
        <v>180</v>
      </c>
      <c r="C99" s="13" t="s">
        <v>196</v>
      </c>
      <c r="D99" s="14">
        <v>823.0</v>
      </c>
      <c r="E99" s="14">
        <v>864.0</v>
      </c>
      <c r="F99" s="14">
        <f t="shared" si="5"/>
        <v>1687</v>
      </c>
      <c r="G99" s="19">
        <f t="shared" si="6"/>
        <v>19190</v>
      </c>
    </row>
    <row r="100">
      <c r="A100" s="24"/>
      <c r="B100" s="24"/>
      <c r="C100" s="26"/>
      <c r="D100" s="27">
        <v>35.0</v>
      </c>
      <c r="E100" s="28"/>
      <c r="F100" s="27">
        <f>SUM(F67:F99)</f>
        <v>19190</v>
      </c>
      <c r="G100" s="29">
        <f>G99</f>
        <v>19190</v>
      </c>
    </row>
    <row r="101">
      <c r="C101" s="30"/>
      <c r="G101" s="30"/>
    </row>
    <row r="102">
      <c r="A102" s="4" t="s">
        <v>327</v>
      </c>
      <c r="B102" s="5"/>
      <c r="C102" s="5"/>
      <c r="D102" s="5"/>
      <c r="E102" s="5"/>
      <c r="F102" s="5"/>
      <c r="G102" s="6"/>
    </row>
    <row r="103">
      <c r="A103" s="7"/>
      <c r="B103" s="8"/>
      <c r="C103" s="8"/>
      <c r="D103" s="8"/>
      <c r="E103" s="8"/>
      <c r="F103" s="8"/>
      <c r="G103" s="9"/>
    </row>
    <row r="104">
      <c r="A104" s="10"/>
      <c r="B104" s="10" t="s">
        <v>6</v>
      </c>
      <c r="C104" s="11" t="s">
        <v>7</v>
      </c>
      <c r="D104" s="10" t="s">
        <v>8</v>
      </c>
      <c r="E104" s="10" t="s">
        <v>9</v>
      </c>
      <c r="F104" s="10" t="s">
        <v>10</v>
      </c>
      <c r="G104" s="11" t="s">
        <v>11</v>
      </c>
    </row>
    <row r="105">
      <c r="A105" s="12">
        <v>1.0</v>
      </c>
      <c r="B105" s="12" t="s">
        <v>226</v>
      </c>
      <c r="C105" s="13" t="s">
        <v>348</v>
      </c>
      <c r="D105" s="14">
        <v>530.0</v>
      </c>
      <c r="E105" s="16"/>
      <c r="F105" s="14">
        <f t="shared" ref="F105:F138" si="7">SUM(D105:E105)</f>
        <v>530</v>
      </c>
      <c r="G105" s="19">
        <f>F105</f>
        <v>530</v>
      </c>
    </row>
    <row r="106">
      <c r="A106" s="12">
        <v>2.0</v>
      </c>
      <c r="B106" s="12" t="s">
        <v>234</v>
      </c>
      <c r="C106" s="13" t="s">
        <v>349</v>
      </c>
      <c r="D106" s="14">
        <v>557.0</v>
      </c>
      <c r="E106" s="16"/>
      <c r="F106" s="14">
        <f t="shared" si="7"/>
        <v>557</v>
      </c>
      <c r="G106" s="19">
        <f t="shared" ref="G106:G138" si="8">G105+F106</f>
        <v>1087</v>
      </c>
    </row>
    <row r="107">
      <c r="A107" s="12">
        <v>3.0</v>
      </c>
      <c r="B107" s="12" t="s">
        <v>234</v>
      </c>
      <c r="C107" s="13" t="s">
        <v>349</v>
      </c>
      <c r="D107" s="14">
        <v>585.0</v>
      </c>
      <c r="E107" s="16"/>
      <c r="F107" s="14">
        <f t="shared" si="7"/>
        <v>585</v>
      </c>
      <c r="G107" s="19">
        <f t="shared" si="8"/>
        <v>1672</v>
      </c>
    </row>
    <row r="108">
      <c r="A108" s="12">
        <v>4.0</v>
      </c>
      <c r="B108" s="12" t="s">
        <v>234</v>
      </c>
      <c r="C108" s="13" t="s">
        <v>349</v>
      </c>
      <c r="D108" s="14">
        <v>614.0</v>
      </c>
      <c r="E108" s="16"/>
      <c r="F108" s="14">
        <f t="shared" si="7"/>
        <v>614</v>
      </c>
      <c r="G108" s="19">
        <f t="shared" si="8"/>
        <v>2286</v>
      </c>
    </row>
    <row r="109">
      <c r="A109" s="12">
        <v>5.0</v>
      </c>
      <c r="B109" s="12" t="s">
        <v>226</v>
      </c>
      <c r="C109" s="13" t="s">
        <v>348</v>
      </c>
      <c r="D109" s="14">
        <v>557.0</v>
      </c>
      <c r="E109" s="16"/>
      <c r="F109" s="14">
        <f t="shared" si="7"/>
        <v>557</v>
      </c>
      <c r="G109" s="19">
        <f t="shared" si="8"/>
        <v>2843</v>
      </c>
    </row>
    <row r="110">
      <c r="A110" s="12">
        <v>6.0</v>
      </c>
      <c r="B110" s="12" t="s">
        <v>242</v>
      </c>
      <c r="C110" s="13" t="s">
        <v>351</v>
      </c>
      <c r="D110" s="14">
        <v>585.0</v>
      </c>
      <c r="E110" s="16"/>
      <c r="F110" s="14">
        <f t="shared" si="7"/>
        <v>585</v>
      </c>
      <c r="G110" s="19">
        <f t="shared" si="8"/>
        <v>3428</v>
      </c>
    </row>
    <row r="111">
      <c r="A111" s="12">
        <v>7.0</v>
      </c>
      <c r="B111" s="12" t="s">
        <v>242</v>
      </c>
      <c r="C111" s="13" t="s">
        <v>351</v>
      </c>
      <c r="D111" s="14">
        <v>614.0</v>
      </c>
      <c r="E111" s="16"/>
      <c r="F111" s="14">
        <f t="shared" si="7"/>
        <v>614</v>
      </c>
      <c r="G111" s="19">
        <f t="shared" si="8"/>
        <v>4042</v>
      </c>
    </row>
    <row r="112">
      <c r="A112" s="12">
        <v>8.0</v>
      </c>
      <c r="B112" s="12" t="s">
        <v>237</v>
      </c>
      <c r="C112" s="13" t="s">
        <v>352</v>
      </c>
      <c r="D112" s="14">
        <v>557.0</v>
      </c>
      <c r="E112" s="16"/>
      <c r="F112" s="14">
        <f t="shared" si="7"/>
        <v>557</v>
      </c>
      <c r="G112" s="19">
        <f t="shared" si="8"/>
        <v>4599</v>
      </c>
    </row>
    <row r="113">
      <c r="A113" s="12">
        <v>9.0</v>
      </c>
      <c r="B113" s="12" t="s">
        <v>237</v>
      </c>
      <c r="C113" s="13" t="s">
        <v>352</v>
      </c>
      <c r="D113" s="14">
        <v>585.0</v>
      </c>
      <c r="E113" s="16"/>
      <c r="F113" s="14">
        <f t="shared" si="7"/>
        <v>585</v>
      </c>
      <c r="G113" s="19">
        <f t="shared" si="8"/>
        <v>5184</v>
      </c>
    </row>
    <row r="114">
      <c r="A114" s="12">
        <v>10.0</v>
      </c>
      <c r="B114" s="12" t="s">
        <v>237</v>
      </c>
      <c r="C114" s="13" t="s">
        <v>352</v>
      </c>
      <c r="D114" s="14">
        <v>614.0</v>
      </c>
      <c r="E114" s="16"/>
      <c r="F114" s="14">
        <f t="shared" si="7"/>
        <v>614</v>
      </c>
      <c r="G114" s="19">
        <f t="shared" si="8"/>
        <v>5798</v>
      </c>
    </row>
    <row r="115">
      <c r="A115" s="12">
        <v>11.0</v>
      </c>
      <c r="B115" s="12" t="s">
        <v>244</v>
      </c>
      <c r="C115" s="13" t="s">
        <v>354</v>
      </c>
      <c r="D115" s="14">
        <v>1096.0</v>
      </c>
      <c r="E115" s="14">
        <v>1151.0</v>
      </c>
      <c r="F115" s="14">
        <f t="shared" si="7"/>
        <v>2247</v>
      </c>
      <c r="G115" s="19">
        <f t="shared" si="8"/>
        <v>8045</v>
      </c>
    </row>
    <row r="116">
      <c r="A116" s="12">
        <v>12.0</v>
      </c>
      <c r="B116" s="12" t="s">
        <v>214</v>
      </c>
      <c r="C116" s="13" t="s">
        <v>355</v>
      </c>
      <c r="D116" s="14">
        <v>530.0</v>
      </c>
      <c r="E116" s="16"/>
      <c r="F116" s="14">
        <f t="shared" si="7"/>
        <v>530</v>
      </c>
      <c r="G116" s="19">
        <f t="shared" si="8"/>
        <v>8575</v>
      </c>
    </row>
    <row r="117">
      <c r="A117" s="12">
        <v>13.0</v>
      </c>
      <c r="B117" s="12" t="s">
        <v>157</v>
      </c>
      <c r="C117" s="13" t="s">
        <v>356</v>
      </c>
      <c r="D117" s="14">
        <v>557.0</v>
      </c>
      <c r="E117" s="16"/>
      <c r="F117" s="14">
        <f t="shared" si="7"/>
        <v>557</v>
      </c>
      <c r="G117" s="19">
        <f t="shared" si="8"/>
        <v>9132</v>
      </c>
    </row>
    <row r="118">
      <c r="A118" s="12">
        <v>14.0</v>
      </c>
      <c r="B118" s="12" t="s">
        <v>157</v>
      </c>
      <c r="C118" s="13" t="s">
        <v>356</v>
      </c>
      <c r="D118" s="14">
        <v>585.0</v>
      </c>
      <c r="E118" s="16"/>
      <c r="F118" s="14">
        <f t="shared" si="7"/>
        <v>585</v>
      </c>
      <c r="G118" s="19">
        <f t="shared" si="8"/>
        <v>9717</v>
      </c>
    </row>
    <row r="119">
      <c r="A119" s="12">
        <v>15.0</v>
      </c>
      <c r="B119" s="12" t="s">
        <v>157</v>
      </c>
      <c r="C119" s="13" t="s">
        <v>356</v>
      </c>
      <c r="D119" s="14">
        <v>614.0</v>
      </c>
      <c r="E119" s="16"/>
      <c r="F119" s="14">
        <f t="shared" si="7"/>
        <v>614</v>
      </c>
      <c r="G119" s="19">
        <f t="shared" si="8"/>
        <v>10331</v>
      </c>
    </row>
    <row r="120">
      <c r="A120" s="12">
        <v>16.0</v>
      </c>
      <c r="B120" s="12" t="s">
        <v>214</v>
      </c>
      <c r="C120" s="13" t="s">
        <v>355</v>
      </c>
      <c r="D120" s="14">
        <v>557.0</v>
      </c>
      <c r="E120" s="16"/>
      <c r="F120" s="14">
        <f t="shared" si="7"/>
        <v>557</v>
      </c>
      <c r="G120" s="19">
        <f t="shared" si="8"/>
        <v>10888</v>
      </c>
    </row>
    <row r="121">
      <c r="A121" s="12">
        <v>17.0</v>
      </c>
      <c r="B121" s="12" t="s">
        <v>224</v>
      </c>
      <c r="C121" s="13" t="s">
        <v>357</v>
      </c>
      <c r="D121" s="14">
        <v>585.0</v>
      </c>
      <c r="E121" s="16"/>
      <c r="F121" s="14">
        <f t="shared" si="7"/>
        <v>585</v>
      </c>
      <c r="G121" s="19">
        <f t="shared" si="8"/>
        <v>11473</v>
      </c>
    </row>
    <row r="122">
      <c r="A122" s="12">
        <v>18.0</v>
      </c>
      <c r="B122" s="12" t="s">
        <v>224</v>
      </c>
      <c r="C122" s="13" t="s">
        <v>357</v>
      </c>
      <c r="D122" s="14">
        <v>614.0</v>
      </c>
      <c r="E122" s="16"/>
      <c r="F122" s="14">
        <f t="shared" si="7"/>
        <v>614</v>
      </c>
      <c r="G122" s="19">
        <f t="shared" si="8"/>
        <v>12087</v>
      </c>
    </row>
    <row r="123">
      <c r="A123" s="12">
        <v>19.0</v>
      </c>
      <c r="B123" s="12" t="s">
        <v>218</v>
      </c>
      <c r="C123" s="13" t="s">
        <v>359</v>
      </c>
      <c r="D123" s="14">
        <v>557.0</v>
      </c>
      <c r="E123" s="16"/>
      <c r="F123" s="14">
        <f t="shared" si="7"/>
        <v>557</v>
      </c>
      <c r="G123" s="19">
        <f t="shared" si="8"/>
        <v>12644</v>
      </c>
    </row>
    <row r="124">
      <c r="A124" s="12">
        <v>20.0</v>
      </c>
      <c r="B124" s="12" t="s">
        <v>218</v>
      </c>
      <c r="C124" s="13" t="s">
        <v>359</v>
      </c>
      <c r="D124" s="14">
        <v>585.0</v>
      </c>
      <c r="E124" s="16"/>
      <c r="F124" s="14">
        <f t="shared" si="7"/>
        <v>585</v>
      </c>
      <c r="G124" s="19">
        <f t="shared" si="8"/>
        <v>13229</v>
      </c>
    </row>
    <row r="125">
      <c r="A125" s="12">
        <v>21.0</v>
      </c>
      <c r="B125" s="12" t="s">
        <v>218</v>
      </c>
      <c r="C125" s="13" t="s">
        <v>359</v>
      </c>
      <c r="D125" s="14">
        <v>614.0</v>
      </c>
      <c r="E125" s="16"/>
      <c r="F125" s="14">
        <f t="shared" si="7"/>
        <v>614</v>
      </c>
      <c r="G125" s="19">
        <f t="shared" si="8"/>
        <v>13843</v>
      </c>
    </row>
    <row r="126">
      <c r="A126" s="12">
        <v>22.0</v>
      </c>
      <c r="B126" s="12" t="s">
        <v>230</v>
      </c>
      <c r="C126" s="13" t="s">
        <v>360</v>
      </c>
      <c r="D126" s="14">
        <v>1096.0</v>
      </c>
      <c r="E126" s="14">
        <v>1151.0</v>
      </c>
      <c r="F126" s="14">
        <f t="shared" si="7"/>
        <v>2247</v>
      </c>
      <c r="G126" s="19">
        <f t="shared" si="8"/>
        <v>16090</v>
      </c>
    </row>
    <row r="127">
      <c r="A127" s="12">
        <v>23.0</v>
      </c>
      <c r="B127" s="12" t="s">
        <v>200</v>
      </c>
      <c r="C127" s="13" t="s">
        <v>362</v>
      </c>
      <c r="D127" s="14">
        <v>530.0</v>
      </c>
      <c r="E127" s="16"/>
      <c r="F127" s="14">
        <f t="shared" si="7"/>
        <v>530</v>
      </c>
      <c r="G127" s="19">
        <f t="shared" si="8"/>
        <v>16620</v>
      </c>
    </row>
    <row r="128">
      <c r="A128" s="12">
        <v>24.0</v>
      </c>
      <c r="B128" s="12" t="s">
        <v>206</v>
      </c>
      <c r="C128" s="13" t="s">
        <v>364</v>
      </c>
      <c r="D128" s="14">
        <v>557.0</v>
      </c>
      <c r="E128" s="16"/>
      <c r="F128" s="14">
        <f t="shared" si="7"/>
        <v>557</v>
      </c>
      <c r="G128" s="19">
        <f t="shared" si="8"/>
        <v>17177</v>
      </c>
    </row>
    <row r="129">
      <c r="A129" s="12">
        <v>25.0</v>
      </c>
      <c r="B129" s="12" t="s">
        <v>206</v>
      </c>
      <c r="C129" s="13" t="s">
        <v>364</v>
      </c>
      <c r="D129" s="14">
        <v>585.0</v>
      </c>
      <c r="E129" s="16"/>
      <c r="F129" s="14">
        <f t="shared" si="7"/>
        <v>585</v>
      </c>
      <c r="G129" s="19">
        <f t="shared" si="8"/>
        <v>17762</v>
      </c>
    </row>
    <row r="130">
      <c r="A130" s="12">
        <v>26.0</v>
      </c>
      <c r="B130" s="12" t="s">
        <v>206</v>
      </c>
      <c r="C130" s="13" t="s">
        <v>364</v>
      </c>
      <c r="D130" s="14">
        <v>614.0</v>
      </c>
      <c r="E130" s="16"/>
      <c r="F130" s="14">
        <f t="shared" si="7"/>
        <v>614</v>
      </c>
      <c r="G130" s="19">
        <f t="shared" si="8"/>
        <v>18376</v>
      </c>
    </row>
    <row r="131">
      <c r="A131" s="12">
        <v>27.0</v>
      </c>
      <c r="B131" s="12" t="s">
        <v>200</v>
      </c>
      <c r="C131" s="13" t="s">
        <v>362</v>
      </c>
      <c r="D131" s="14">
        <v>557.0</v>
      </c>
      <c r="E131" s="16"/>
      <c r="F131" s="14">
        <f t="shared" si="7"/>
        <v>557</v>
      </c>
      <c r="G131" s="19">
        <f t="shared" si="8"/>
        <v>18933</v>
      </c>
    </row>
    <row r="132">
      <c r="A132" s="12">
        <v>28.0</v>
      </c>
      <c r="B132" s="12" t="s">
        <v>210</v>
      </c>
      <c r="C132" s="13" t="s">
        <v>365</v>
      </c>
      <c r="D132" s="14">
        <v>585.0</v>
      </c>
      <c r="E132" s="16"/>
      <c r="F132" s="14">
        <f t="shared" si="7"/>
        <v>585</v>
      </c>
      <c r="G132" s="19">
        <f t="shared" si="8"/>
        <v>19518</v>
      </c>
    </row>
    <row r="133">
      <c r="A133" s="12">
        <v>29.0</v>
      </c>
      <c r="B133" s="12" t="s">
        <v>210</v>
      </c>
      <c r="C133" s="13" t="s">
        <v>365</v>
      </c>
      <c r="D133" s="14">
        <v>614.0</v>
      </c>
      <c r="E133" s="16"/>
      <c r="F133" s="14">
        <f t="shared" si="7"/>
        <v>614</v>
      </c>
      <c r="G133" s="19">
        <f t="shared" si="8"/>
        <v>20132</v>
      </c>
    </row>
    <row r="134">
      <c r="A134" s="12">
        <v>30.0</v>
      </c>
      <c r="B134" s="12" t="s">
        <v>202</v>
      </c>
      <c r="C134" s="13" t="s">
        <v>366</v>
      </c>
      <c r="D134" s="14">
        <v>557.0</v>
      </c>
      <c r="E134" s="16"/>
      <c r="F134" s="14">
        <f t="shared" si="7"/>
        <v>557</v>
      </c>
      <c r="G134" s="19">
        <f t="shared" si="8"/>
        <v>20689</v>
      </c>
    </row>
    <row r="135">
      <c r="A135" s="12">
        <v>31.0</v>
      </c>
      <c r="B135" s="12" t="s">
        <v>202</v>
      </c>
      <c r="C135" s="13" t="s">
        <v>366</v>
      </c>
      <c r="D135" s="14">
        <v>585.0</v>
      </c>
      <c r="E135" s="16"/>
      <c r="F135" s="14">
        <f t="shared" si="7"/>
        <v>585</v>
      </c>
      <c r="G135" s="19">
        <f t="shared" si="8"/>
        <v>21274</v>
      </c>
    </row>
    <row r="136">
      <c r="A136" s="12">
        <v>32.0</v>
      </c>
      <c r="B136" s="12" t="s">
        <v>202</v>
      </c>
      <c r="C136" s="13" t="s">
        <v>366</v>
      </c>
      <c r="D136" s="14">
        <v>614.0</v>
      </c>
      <c r="E136" s="16"/>
      <c r="F136" s="14">
        <f t="shared" si="7"/>
        <v>614</v>
      </c>
      <c r="G136" s="19">
        <f t="shared" si="8"/>
        <v>21888</v>
      </c>
    </row>
    <row r="137">
      <c r="A137" s="12">
        <v>33.0</v>
      </c>
      <c r="B137" s="12" t="s">
        <v>212</v>
      </c>
      <c r="C137" s="13" t="s">
        <v>367</v>
      </c>
      <c r="D137" s="14">
        <v>1096.0</v>
      </c>
      <c r="E137" s="14">
        <v>1151.0</v>
      </c>
      <c r="F137" s="14">
        <f t="shared" si="7"/>
        <v>2247</v>
      </c>
      <c r="G137" s="19">
        <f t="shared" si="8"/>
        <v>24135</v>
      </c>
    </row>
    <row r="138" ht="26.25" customHeight="1">
      <c r="A138" s="12">
        <v>34.0</v>
      </c>
      <c r="B138" s="12" t="s">
        <v>369</v>
      </c>
      <c r="C138" s="23" t="s">
        <v>371</v>
      </c>
      <c r="D138" s="14">
        <v>3048.0</v>
      </c>
      <c r="E138" s="16"/>
      <c r="F138" s="14">
        <f t="shared" si="7"/>
        <v>3048</v>
      </c>
      <c r="G138" s="19">
        <f t="shared" si="8"/>
        <v>27183</v>
      </c>
    </row>
    <row r="139">
      <c r="A139" s="24"/>
      <c r="B139" s="24"/>
      <c r="C139" s="26"/>
      <c r="D139" s="27">
        <v>37.0</v>
      </c>
      <c r="E139" s="28"/>
      <c r="F139" s="27">
        <f>SUM(F105:F138)</f>
        <v>27183</v>
      </c>
      <c r="G139" s="29">
        <f>G138</f>
        <v>27183</v>
      </c>
    </row>
  </sheetData>
  <mergeCells count="4">
    <mergeCell ref="A1:G2"/>
    <mergeCell ref="A30:G31"/>
    <mergeCell ref="A64:G65"/>
    <mergeCell ref="A102:G103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57"/>
    <col customWidth="1" min="3" max="3" width="68.0"/>
    <col customWidth="1" min="4" max="5" width="7.14"/>
    <col customWidth="1" min="6" max="6" width="7.0"/>
    <col customWidth="1" min="7" max="7" width="8.57"/>
  </cols>
  <sheetData>
    <row r="1">
      <c r="A1" s="4" t="s">
        <v>147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12</v>
      </c>
      <c r="C4" s="13" t="s">
        <v>13</v>
      </c>
      <c r="D4" s="14">
        <v>219.0</v>
      </c>
      <c r="E4" s="16"/>
      <c r="F4" s="14">
        <f t="shared" ref="F4:F27" si="1">SUM(D4:E4)</f>
        <v>219</v>
      </c>
      <c r="G4" s="19">
        <f>F4</f>
        <v>219</v>
      </c>
    </row>
    <row r="5">
      <c r="A5" s="12">
        <v>2.0</v>
      </c>
      <c r="B5" s="12" t="s">
        <v>12</v>
      </c>
      <c r="C5" s="13" t="s">
        <v>13</v>
      </c>
      <c r="D5" s="14">
        <v>230.0</v>
      </c>
      <c r="E5" s="16"/>
      <c r="F5" s="14">
        <f t="shared" si="1"/>
        <v>230</v>
      </c>
      <c r="G5" s="19">
        <f t="shared" ref="G5:G27" si="2">G4+F5</f>
        <v>449</v>
      </c>
    </row>
    <row r="6">
      <c r="A6" s="12">
        <v>3.0</v>
      </c>
      <c r="B6" s="12" t="s">
        <v>12</v>
      </c>
      <c r="C6" s="13" t="s">
        <v>13</v>
      </c>
      <c r="D6" s="14">
        <v>241.0</v>
      </c>
      <c r="E6" s="16"/>
      <c r="F6" s="14">
        <f t="shared" si="1"/>
        <v>241</v>
      </c>
      <c r="G6" s="19">
        <f t="shared" si="2"/>
        <v>690</v>
      </c>
    </row>
    <row r="7">
      <c r="A7" s="12">
        <v>4.0</v>
      </c>
      <c r="B7" s="12" t="s">
        <v>12</v>
      </c>
      <c r="C7" s="13" t="s">
        <v>13</v>
      </c>
      <c r="D7" s="14">
        <v>254.0</v>
      </c>
      <c r="E7" s="16"/>
      <c r="F7" s="14">
        <f t="shared" si="1"/>
        <v>254</v>
      </c>
      <c r="G7" s="19">
        <f t="shared" si="2"/>
        <v>944</v>
      </c>
    </row>
    <row r="8">
      <c r="A8" s="12">
        <v>5.0</v>
      </c>
      <c r="B8" s="12" t="s">
        <v>22</v>
      </c>
      <c r="C8" s="13" t="s">
        <v>23</v>
      </c>
      <c r="D8" s="14">
        <v>266.0</v>
      </c>
      <c r="E8" s="16"/>
      <c r="F8" s="14">
        <f t="shared" si="1"/>
        <v>266</v>
      </c>
      <c r="G8" s="19">
        <f t="shared" si="2"/>
        <v>1210</v>
      </c>
    </row>
    <row r="9">
      <c r="A9" s="12">
        <v>6.0</v>
      </c>
      <c r="B9" s="12" t="s">
        <v>281</v>
      </c>
      <c r="C9" s="13" t="s">
        <v>326</v>
      </c>
      <c r="D9" s="14">
        <v>476.0</v>
      </c>
      <c r="E9" s="14">
        <v>499.0</v>
      </c>
      <c r="F9" s="14">
        <f t="shared" si="1"/>
        <v>975</v>
      </c>
      <c r="G9" s="19">
        <f t="shared" si="2"/>
        <v>2185</v>
      </c>
    </row>
    <row r="10">
      <c r="A10" s="12">
        <v>7.0</v>
      </c>
      <c r="B10" s="12" t="s">
        <v>12</v>
      </c>
      <c r="C10" s="13" t="s">
        <v>13</v>
      </c>
      <c r="D10" s="14">
        <v>219.0</v>
      </c>
      <c r="E10" s="16"/>
      <c r="F10" s="14">
        <f t="shared" si="1"/>
        <v>219</v>
      </c>
      <c r="G10" s="19">
        <f t="shared" si="2"/>
        <v>2404</v>
      </c>
    </row>
    <row r="11">
      <c r="A11" s="12">
        <v>8.0</v>
      </c>
      <c r="B11" s="12" t="s">
        <v>12</v>
      </c>
      <c r="C11" s="13" t="s">
        <v>13</v>
      </c>
      <c r="D11" s="14">
        <v>230.0</v>
      </c>
      <c r="E11" s="16"/>
      <c r="F11" s="14">
        <f t="shared" si="1"/>
        <v>230</v>
      </c>
      <c r="G11" s="19">
        <f t="shared" si="2"/>
        <v>2634</v>
      </c>
    </row>
    <row r="12">
      <c r="A12" s="12">
        <v>9.0</v>
      </c>
      <c r="B12" s="12" t="s">
        <v>12</v>
      </c>
      <c r="C12" s="13" t="s">
        <v>13</v>
      </c>
      <c r="D12" s="14">
        <v>241.0</v>
      </c>
      <c r="E12" s="16"/>
      <c r="F12" s="14">
        <f t="shared" si="1"/>
        <v>241</v>
      </c>
      <c r="G12" s="19">
        <f t="shared" si="2"/>
        <v>2875</v>
      </c>
    </row>
    <row r="13">
      <c r="A13" s="12">
        <v>10.0</v>
      </c>
      <c r="B13" s="12" t="s">
        <v>12</v>
      </c>
      <c r="C13" s="13" t="s">
        <v>13</v>
      </c>
      <c r="D13" s="14">
        <v>254.0</v>
      </c>
      <c r="E13" s="16"/>
      <c r="F13" s="14">
        <f t="shared" si="1"/>
        <v>254</v>
      </c>
      <c r="G13" s="19">
        <f t="shared" si="2"/>
        <v>3129</v>
      </c>
    </row>
    <row r="14">
      <c r="A14" s="12">
        <v>11.0</v>
      </c>
      <c r="B14" s="12" t="s">
        <v>12</v>
      </c>
      <c r="C14" s="13" t="s">
        <v>13</v>
      </c>
      <c r="D14" s="14">
        <v>266.0</v>
      </c>
      <c r="E14" s="16"/>
      <c r="F14" s="14">
        <f t="shared" si="1"/>
        <v>266</v>
      </c>
      <c r="G14" s="19">
        <f t="shared" si="2"/>
        <v>3395</v>
      </c>
    </row>
    <row r="15">
      <c r="A15" s="12">
        <v>12.0</v>
      </c>
      <c r="B15" s="12" t="s">
        <v>144</v>
      </c>
      <c r="C15" s="13" t="s">
        <v>184</v>
      </c>
      <c r="D15" s="14">
        <v>476.0</v>
      </c>
      <c r="E15" s="14">
        <v>499.0</v>
      </c>
      <c r="F15" s="14">
        <f t="shared" si="1"/>
        <v>975</v>
      </c>
      <c r="G15" s="19">
        <f t="shared" si="2"/>
        <v>4370</v>
      </c>
    </row>
    <row r="16">
      <c r="A16" s="12">
        <v>13.0</v>
      </c>
      <c r="B16" s="12" t="s">
        <v>25</v>
      </c>
      <c r="C16" s="13" t="s">
        <v>26</v>
      </c>
      <c r="D16" s="14">
        <v>219.0</v>
      </c>
      <c r="E16" s="16"/>
      <c r="F16" s="14">
        <f t="shared" si="1"/>
        <v>219</v>
      </c>
      <c r="G16" s="19">
        <f t="shared" si="2"/>
        <v>4589</v>
      </c>
    </row>
    <row r="17">
      <c r="A17" s="12">
        <v>14.0</v>
      </c>
      <c r="B17" s="12" t="s">
        <v>25</v>
      </c>
      <c r="C17" s="13" t="s">
        <v>26</v>
      </c>
      <c r="D17" s="14">
        <v>230.0</v>
      </c>
      <c r="E17" s="16"/>
      <c r="F17" s="14">
        <f t="shared" si="1"/>
        <v>230</v>
      </c>
      <c r="G17" s="19">
        <f t="shared" si="2"/>
        <v>4819</v>
      </c>
    </row>
    <row r="18">
      <c r="A18" s="12">
        <v>15.0</v>
      </c>
      <c r="B18" s="12" t="s">
        <v>25</v>
      </c>
      <c r="C18" s="13" t="s">
        <v>26</v>
      </c>
      <c r="D18" s="14">
        <v>241.0</v>
      </c>
      <c r="E18" s="16"/>
      <c r="F18" s="14">
        <f t="shared" si="1"/>
        <v>241</v>
      </c>
      <c r="G18" s="19">
        <f t="shared" si="2"/>
        <v>5060</v>
      </c>
    </row>
    <row r="19">
      <c r="A19" s="12">
        <v>16.0</v>
      </c>
      <c r="B19" s="12" t="s">
        <v>25</v>
      </c>
      <c r="C19" s="13" t="s">
        <v>26</v>
      </c>
      <c r="D19" s="14">
        <v>254.0</v>
      </c>
      <c r="E19" s="16"/>
      <c r="F19" s="14">
        <f t="shared" si="1"/>
        <v>254</v>
      </c>
      <c r="G19" s="19">
        <f t="shared" si="2"/>
        <v>5314</v>
      </c>
    </row>
    <row r="20">
      <c r="A20" s="12">
        <v>17.0</v>
      </c>
      <c r="B20" s="12" t="s">
        <v>25</v>
      </c>
      <c r="C20" s="13" t="s">
        <v>26</v>
      </c>
      <c r="D20" s="14">
        <v>266.0</v>
      </c>
      <c r="E20" s="16"/>
      <c r="F20" s="14">
        <f t="shared" si="1"/>
        <v>266</v>
      </c>
      <c r="G20" s="19">
        <f t="shared" si="2"/>
        <v>5580</v>
      </c>
    </row>
    <row r="21">
      <c r="A21" s="12">
        <v>18.0</v>
      </c>
      <c r="B21" s="12" t="s">
        <v>138</v>
      </c>
      <c r="C21" s="13" t="s">
        <v>175</v>
      </c>
      <c r="D21" s="14">
        <v>1260.0</v>
      </c>
      <c r="E21" s="16"/>
      <c r="F21" s="14">
        <f t="shared" si="1"/>
        <v>1260</v>
      </c>
      <c r="G21" s="19">
        <f t="shared" si="2"/>
        <v>6840</v>
      </c>
    </row>
    <row r="22">
      <c r="A22" s="12">
        <v>19.0</v>
      </c>
      <c r="B22" s="12" t="s">
        <v>25</v>
      </c>
      <c r="C22" s="13" t="s">
        <v>26</v>
      </c>
      <c r="D22" s="14">
        <v>219.0</v>
      </c>
      <c r="E22" s="16"/>
      <c r="F22" s="14">
        <f t="shared" si="1"/>
        <v>219</v>
      </c>
      <c r="G22" s="19">
        <f t="shared" si="2"/>
        <v>7059</v>
      </c>
    </row>
    <row r="23">
      <c r="A23" s="12">
        <v>20.0</v>
      </c>
      <c r="B23" s="12" t="s">
        <v>25</v>
      </c>
      <c r="C23" s="13" t="s">
        <v>26</v>
      </c>
      <c r="D23" s="14">
        <v>230.0</v>
      </c>
      <c r="E23" s="16"/>
      <c r="F23" s="14">
        <f t="shared" si="1"/>
        <v>230</v>
      </c>
      <c r="G23" s="19">
        <f t="shared" si="2"/>
        <v>7289</v>
      </c>
    </row>
    <row r="24">
      <c r="A24" s="12">
        <v>21.0</v>
      </c>
      <c r="B24" s="12" t="s">
        <v>25</v>
      </c>
      <c r="C24" s="13" t="s">
        <v>26</v>
      </c>
      <c r="D24" s="14">
        <v>241.0</v>
      </c>
      <c r="E24" s="16"/>
      <c r="F24" s="14">
        <f t="shared" si="1"/>
        <v>241</v>
      </c>
      <c r="G24" s="19">
        <f t="shared" si="2"/>
        <v>7530</v>
      </c>
    </row>
    <row r="25">
      <c r="A25" s="12">
        <v>22.0</v>
      </c>
      <c r="B25" s="12" t="s">
        <v>25</v>
      </c>
      <c r="C25" s="13" t="s">
        <v>26</v>
      </c>
      <c r="D25" s="14">
        <v>254.0</v>
      </c>
      <c r="E25" s="16"/>
      <c r="F25" s="14">
        <f t="shared" si="1"/>
        <v>254</v>
      </c>
      <c r="G25" s="19">
        <f t="shared" si="2"/>
        <v>7784</v>
      </c>
    </row>
    <row r="26">
      <c r="A26" s="12">
        <v>23.0</v>
      </c>
      <c r="B26" s="12" t="s">
        <v>22</v>
      </c>
      <c r="C26" s="13" t="s">
        <v>23</v>
      </c>
      <c r="D26" s="14">
        <v>266.0</v>
      </c>
      <c r="E26" s="16"/>
      <c r="F26" s="14">
        <f t="shared" si="1"/>
        <v>266</v>
      </c>
      <c r="G26" s="19">
        <f t="shared" si="2"/>
        <v>8050</v>
      </c>
    </row>
    <row r="27">
      <c r="A27" s="12">
        <v>24.0</v>
      </c>
      <c r="B27" s="12" t="s">
        <v>281</v>
      </c>
      <c r="C27" s="13" t="s">
        <v>326</v>
      </c>
      <c r="D27" s="14">
        <v>476.0</v>
      </c>
      <c r="E27" s="14">
        <v>499.0</v>
      </c>
      <c r="F27" s="14">
        <f t="shared" si="1"/>
        <v>975</v>
      </c>
      <c r="G27" s="19">
        <f t="shared" si="2"/>
        <v>9025</v>
      </c>
    </row>
    <row r="28">
      <c r="A28" s="24"/>
      <c r="B28" s="24"/>
      <c r="C28" s="26"/>
      <c r="D28" s="27">
        <v>27.0</v>
      </c>
      <c r="E28" s="28"/>
      <c r="F28" s="27">
        <f>SUM(F4:F27)</f>
        <v>9025</v>
      </c>
      <c r="G28" s="29">
        <f>G27</f>
        <v>9025</v>
      </c>
    </row>
    <row r="29">
      <c r="C29" s="30"/>
      <c r="G29" s="30"/>
    </row>
    <row r="30">
      <c r="A30" s="4" t="s">
        <v>316</v>
      </c>
      <c r="B30" s="5"/>
      <c r="C30" s="5"/>
      <c r="D30" s="5"/>
      <c r="E30" s="5"/>
      <c r="F30" s="5"/>
      <c r="G30" s="6"/>
    </row>
    <row r="31">
      <c r="A31" s="7"/>
      <c r="B31" s="8"/>
      <c r="C31" s="8"/>
      <c r="D31" s="8"/>
      <c r="E31" s="8"/>
      <c r="F31" s="8"/>
      <c r="G31" s="9"/>
    </row>
    <row r="32">
      <c r="A32" s="10"/>
      <c r="B32" s="10" t="s">
        <v>6</v>
      </c>
      <c r="C32" s="11" t="s">
        <v>7</v>
      </c>
      <c r="D32" s="10" t="s">
        <v>8</v>
      </c>
      <c r="E32" s="10" t="s">
        <v>9</v>
      </c>
      <c r="F32" s="10" t="s">
        <v>10</v>
      </c>
      <c r="G32" s="11" t="s">
        <v>11</v>
      </c>
    </row>
    <row r="33">
      <c r="A33" s="12">
        <v>1.0</v>
      </c>
      <c r="B33" s="12" t="s">
        <v>151</v>
      </c>
      <c r="C33" s="13" t="s">
        <v>191</v>
      </c>
      <c r="D33" s="14">
        <v>290.0</v>
      </c>
      <c r="E33" s="16"/>
      <c r="F33" s="14">
        <f t="shared" ref="F33:F61" si="3">SUM(D33:E33)</f>
        <v>290</v>
      </c>
      <c r="G33" s="19">
        <f>F33</f>
        <v>290</v>
      </c>
    </row>
    <row r="34">
      <c r="A34" s="12">
        <v>2.0</v>
      </c>
      <c r="B34" s="12" t="s">
        <v>151</v>
      </c>
      <c r="C34" s="13" t="s">
        <v>191</v>
      </c>
      <c r="D34" s="14">
        <v>304.0</v>
      </c>
      <c r="E34" s="16"/>
      <c r="F34" s="14">
        <f t="shared" si="3"/>
        <v>304</v>
      </c>
      <c r="G34" s="19">
        <f t="shared" ref="G34:G61" si="4">G33+F34</f>
        <v>594</v>
      </c>
    </row>
    <row r="35">
      <c r="A35" s="12">
        <v>3.0</v>
      </c>
      <c r="B35" s="12" t="s">
        <v>151</v>
      </c>
      <c r="C35" s="13" t="s">
        <v>191</v>
      </c>
      <c r="D35" s="14">
        <v>320.0</v>
      </c>
      <c r="E35" s="16"/>
      <c r="F35" s="14">
        <f t="shared" si="3"/>
        <v>320</v>
      </c>
      <c r="G35" s="19">
        <f t="shared" si="4"/>
        <v>914</v>
      </c>
    </row>
    <row r="36">
      <c r="A36" s="12">
        <v>4.0</v>
      </c>
      <c r="B36" s="12" t="s">
        <v>93</v>
      </c>
      <c r="C36" s="13" t="s">
        <v>94</v>
      </c>
      <c r="D36" s="14">
        <v>336.0</v>
      </c>
      <c r="E36" s="16"/>
      <c r="F36" s="14">
        <f t="shared" si="3"/>
        <v>336</v>
      </c>
      <c r="G36" s="19">
        <f t="shared" si="4"/>
        <v>1250</v>
      </c>
    </row>
    <row r="37">
      <c r="A37" s="12">
        <v>5.0</v>
      </c>
      <c r="B37" s="12" t="s">
        <v>151</v>
      </c>
      <c r="C37" s="13" t="s">
        <v>191</v>
      </c>
      <c r="D37" s="14">
        <v>352.0</v>
      </c>
      <c r="E37" s="16"/>
      <c r="F37" s="14">
        <f t="shared" si="3"/>
        <v>352</v>
      </c>
      <c r="G37" s="19">
        <f t="shared" si="4"/>
        <v>1602</v>
      </c>
    </row>
    <row r="38">
      <c r="A38" s="12">
        <v>6.0</v>
      </c>
      <c r="B38" s="12" t="s">
        <v>151</v>
      </c>
      <c r="C38" s="13" t="s">
        <v>191</v>
      </c>
      <c r="D38" s="14">
        <v>370.0</v>
      </c>
      <c r="E38" s="16"/>
      <c r="F38" s="14">
        <f t="shared" si="3"/>
        <v>370</v>
      </c>
      <c r="G38" s="19">
        <f t="shared" si="4"/>
        <v>1972</v>
      </c>
    </row>
    <row r="39">
      <c r="A39" s="12">
        <v>7.0</v>
      </c>
      <c r="B39" s="12" t="s">
        <v>93</v>
      </c>
      <c r="C39" s="13" t="s">
        <v>94</v>
      </c>
      <c r="D39" s="14">
        <v>389.0</v>
      </c>
      <c r="E39" s="16"/>
      <c r="F39" s="14">
        <f t="shared" si="3"/>
        <v>389</v>
      </c>
      <c r="G39" s="19">
        <f t="shared" si="4"/>
        <v>2361</v>
      </c>
    </row>
    <row r="40">
      <c r="A40" s="12">
        <v>8.0</v>
      </c>
      <c r="B40" s="12" t="s">
        <v>151</v>
      </c>
      <c r="C40" s="13" t="s">
        <v>191</v>
      </c>
      <c r="D40" s="14">
        <v>408.0</v>
      </c>
      <c r="E40" s="16"/>
      <c r="F40" s="14">
        <f t="shared" si="3"/>
        <v>408</v>
      </c>
      <c r="G40" s="19">
        <f t="shared" si="4"/>
        <v>2769</v>
      </c>
    </row>
    <row r="41">
      <c r="A41" s="12">
        <v>9.0</v>
      </c>
      <c r="B41" s="12" t="s">
        <v>151</v>
      </c>
      <c r="C41" s="13" t="s">
        <v>191</v>
      </c>
      <c r="D41" s="14">
        <v>428.0</v>
      </c>
      <c r="E41" s="16"/>
      <c r="F41" s="14">
        <f t="shared" si="3"/>
        <v>428</v>
      </c>
      <c r="G41" s="19">
        <f t="shared" si="4"/>
        <v>3197</v>
      </c>
    </row>
    <row r="42">
      <c r="A42" s="12">
        <v>10.0</v>
      </c>
      <c r="B42" s="12" t="s">
        <v>157</v>
      </c>
      <c r="C42" s="13" t="s">
        <v>197</v>
      </c>
      <c r="D42" s="14">
        <v>450.0</v>
      </c>
      <c r="E42" s="16"/>
      <c r="F42" s="14">
        <f t="shared" si="3"/>
        <v>450</v>
      </c>
      <c r="G42" s="19">
        <f t="shared" si="4"/>
        <v>3647</v>
      </c>
    </row>
    <row r="43">
      <c r="A43" s="12">
        <v>11.0</v>
      </c>
      <c r="B43" s="12" t="s">
        <v>93</v>
      </c>
      <c r="C43" s="13" t="s">
        <v>94</v>
      </c>
      <c r="D43" s="14">
        <v>472.0</v>
      </c>
      <c r="E43" s="16"/>
      <c r="F43" s="14">
        <f t="shared" si="3"/>
        <v>472</v>
      </c>
      <c r="G43" s="19">
        <f t="shared" si="4"/>
        <v>4119</v>
      </c>
    </row>
    <row r="44">
      <c r="A44" s="12">
        <v>12.0</v>
      </c>
      <c r="B44" s="12" t="s">
        <v>151</v>
      </c>
      <c r="C44" s="13" t="s">
        <v>191</v>
      </c>
      <c r="D44" s="14">
        <v>304.0</v>
      </c>
      <c r="E44" s="16"/>
      <c r="F44" s="14">
        <f t="shared" si="3"/>
        <v>304</v>
      </c>
      <c r="G44" s="19">
        <f t="shared" si="4"/>
        <v>4423</v>
      </c>
    </row>
    <row r="45">
      <c r="A45" s="12">
        <v>13.0</v>
      </c>
      <c r="B45" s="12" t="s">
        <v>157</v>
      </c>
      <c r="C45" s="13" t="s">
        <v>197</v>
      </c>
      <c r="D45" s="14">
        <v>320.0</v>
      </c>
      <c r="E45" s="16"/>
      <c r="F45" s="14">
        <f t="shared" si="3"/>
        <v>320</v>
      </c>
      <c r="G45" s="19">
        <f t="shared" si="4"/>
        <v>4743</v>
      </c>
    </row>
    <row r="46">
      <c r="A46" s="12">
        <v>14.0</v>
      </c>
      <c r="B46" s="12" t="s">
        <v>148</v>
      </c>
      <c r="C46" s="13" t="s">
        <v>189</v>
      </c>
      <c r="D46" s="14">
        <v>290.0</v>
      </c>
      <c r="E46" s="16"/>
      <c r="F46" s="14">
        <f t="shared" si="3"/>
        <v>290</v>
      </c>
      <c r="G46" s="19">
        <f t="shared" si="4"/>
        <v>5033</v>
      </c>
    </row>
    <row r="47">
      <c r="A47" s="12">
        <v>15.0</v>
      </c>
      <c r="B47" s="12" t="s">
        <v>148</v>
      </c>
      <c r="C47" s="13" t="s">
        <v>189</v>
      </c>
      <c r="D47" s="14">
        <v>304.0</v>
      </c>
      <c r="E47" s="16"/>
      <c r="F47" s="14">
        <f t="shared" si="3"/>
        <v>304</v>
      </c>
      <c r="G47" s="19">
        <f t="shared" si="4"/>
        <v>5337</v>
      </c>
    </row>
    <row r="48">
      <c r="A48" s="12">
        <v>16.0</v>
      </c>
      <c r="B48" s="12" t="s">
        <v>160</v>
      </c>
      <c r="C48" s="13" t="s">
        <v>204</v>
      </c>
      <c r="D48" s="14">
        <v>320.0</v>
      </c>
      <c r="E48" s="16"/>
      <c r="F48" s="14">
        <f t="shared" si="3"/>
        <v>320</v>
      </c>
      <c r="G48" s="19">
        <f t="shared" si="4"/>
        <v>5657</v>
      </c>
    </row>
    <row r="49">
      <c r="A49" s="12">
        <v>17.0</v>
      </c>
      <c r="B49" s="12" t="s">
        <v>153</v>
      </c>
      <c r="C49" s="13" t="s">
        <v>194</v>
      </c>
      <c r="D49" s="14">
        <v>571.0</v>
      </c>
      <c r="E49" s="14">
        <v>599.0</v>
      </c>
      <c r="F49" s="14">
        <f t="shared" si="3"/>
        <v>1170</v>
      </c>
      <c r="G49" s="19">
        <f t="shared" si="4"/>
        <v>6827</v>
      </c>
    </row>
    <row r="50">
      <c r="A50" s="12">
        <v>18.0</v>
      </c>
      <c r="B50" s="12" t="s">
        <v>148</v>
      </c>
      <c r="C50" s="13" t="s">
        <v>189</v>
      </c>
      <c r="D50" s="14">
        <v>304.0</v>
      </c>
      <c r="E50" s="16"/>
      <c r="F50" s="14">
        <f t="shared" si="3"/>
        <v>304</v>
      </c>
      <c r="G50" s="19">
        <f t="shared" si="4"/>
        <v>7131</v>
      </c>
    </row>
    <row r="51">
      <c r="A51" s="12">
        <v>19.0</v>
      </c>
      <c r="B51" s="12" t="s">
        <v>148</v>
      </c>
      <c r="C51" s="13" t="s">
        <v>189</v>
      </c>
      <c r="D51" s="14">
        <v>320.0</v>
      </c>
      <c r="E51" s="16"/>
      <c r="F51" s="14">
        <f t="shared" si="3"/>
        <v>320</v>
      </c>
      <c r="G51" s="19">
        <f t="shared" si="4"/>
        <v>7451</v>
      </c>
    </row>
    <row r="52">
      <c r="A52" s="12">
        <v>20.0</v>
      </c>
      <c r="B52" s="12" t="s">
        <v>99</v>
      </c>
      <c r="C52" s="13" t="s">
        <v>100</v>
      </c>
      <c r="D52" s="14">
        <v>336.0</v>
      </c>
      <c r="E52" s="16"/>
      <c r="F52" s="14">
        <f t="shared" si="3"/>
        <v>336</v>
      </c>
      <c r="G52" s="19">
        <f t="shared" si="4"/>
        <v>7787</v>
      </c>
    </row>
    <row r="53">
      <c r="A53" s="12">
        <v>21.0</v>
      </c>
      <c r="B53" s="12" t="s">
        <v>148</v>
      </c>
      <c r="C53" s="13" t="s">
        <v>189</v>
      </c>
      <c r="D53" s="14">
        <v>352.0</v>
      </c>
      <c r="E53" s="16"/>
      <c r="F53" s="14">
        <f t="shared" si="3"/>
        <v>352</v>
      </c>
      <c r="G53" s="19">
        <f t="shared" si="4"/>
        <v>8139</v>
      </c>
    </row>
    <row r="54">
      <c r="A54" s="12">
        <v>22.0</v>
      </c>
      <c r="B54" s="12" t="s">
        <v>148</v>
      </c>
      <c r="C54" s="13" t="s">
        <v>189</v>
      </c>
      <c r="D54" s="14">
        <v>370.0</v>
      </c>
      <c r="E54" s="16"/>
      <c r="F54" s="14">
        <f t="shared" si="3"/>
        <v>370</v>
      </c>
      <c r="G54" s="19">
        <f t="shared" si="4"/>
        <v>8509</v>
      </c>
    </row>
    <row r="55">
      <c r="A55" s="12">
        <v>23.0</v>
      </c>
      <c r="B55" s="12" t="s">
        <v>99</v>
      </c>
      <c r="C55" s="13" t="s">
        <v>100</v>
      </c>
      <c r="D55" s="14">
        <v>389.0</v>
      </c>
      <c r="E55" s="16"/>
      <c r="F55" s="14">
        <f t="shared" si="3"/>
        <v>389</v>
      </c>
      <c r="G55" s="19">
        <f t="shared" si="4"/>
        <v>8898</v>
      </c>
    </row>
    <row r="56">
      <c r="A56" s="12">
        <v>24.0</v>
      </c>
      <c r="B56" s="12" t="s">
        <v>148</v>
      </c>
      <c r="C56" s="13" t="s">
        <v>189</v>
      </c>
      <c r="D56" s="14">
        <v>408.0</v>
      </c>
      <c r="E56" s="16"/>
      <c r="F56" s="14">
        <f t="shared" si="3"/>
        <v>408</v>
      </c>
      <c r="G56" s="19">
        <f t="shared" si="4"/>
        <v>9306</v>
      </c>
    </row>
    <row r="57">
      <c r="A57" s="12">
        <v>25.0</v>
      </c>
      <c r="B57" s="12" t="s">
        <v>153</v>
      </c>
      <c r="C57" s="13" t="s">
        <v>194</v>
      </c>
      <c r="D57" s="14">
        <v>729.0</v>
      </c>
      <c r="E57" s="14">
        <v>765.0</v>
      </c>
      <c r="F57" s="14">
        <f t="shared" si="3"/>
        <v>1494</v>
      </c>
      <c r="G57" s="19">
        <f t="shared" si="4"/>
        <v>10800</v>
      </c>
    </row>
    <row r="58">
      <c r="A58" s="12">
        <v>26.0</v>
      </c>
      <c r="B58" s="12" t="s">
        <v>148</v>
      </c>
      <c r="C58" s="13" t="s">
        <v>189</v>
      </c>
      <c r="D58" s="14">
        <v>428.0</v>
      </c>
      <c r="E58" s="16"/>
      <c r="F58" s="14">
        <f t="shared" si="3"/>
        <v>428</v>
      </c>
      <c r="G58" s="19">
        <f t="shared" si="4"/>
        <v>11228</v>
      </c>
    </row>
    <row r="59">
      <c r="A59" s="12">
        <v>27.0</v>
      </c>
      <c r="B59" s="12" t="s">
        <v>160</v>
      </c>
      <c r="C59" s="13" t="s">
        <v>204</v>
      </c>
      <c r="D59" s="14">
        <v>450.0</v>
      </c>
      <c r="E59" s="16"/>
      <c r="F59" s="14">
        <f t="shared" si="3"/>
        <v>450</v>
      </c>
      <c r="G59" s="19">
        <f t="shared" si="4"/>
        <v>11678</v>
      </c>
    </row>
    <row r="60">
      <c r="A60" s="12">
        <v>28.0</v>
      </c>
      <c r="B60" s="12" t="s">
        <v>99</v>
      </c>
      <c r="C60" s="13" t="s">
        <v>100</v>
      </c>
      <c r="D60" s="14">
        <v>472.0</v>
      </c>
      <c r="E60" s="16"/>
      <c r="F60" s="14">
        <f t="shared" si="3"/>
        <v>472</v>
      </c>
      <c r="G60" s="19">
        <f t="shared" si="4"/>
        <v>12150</v>
      </c>
    </row>
    <row r="61">
      <c r="A61" s="12">
        <v>29.0</v>
      </c>
      <c r="B61" s="12" t="s">
        <v>165</v>
      </c>
      <c r="C61" s="13" t="s">
        <v>208</v>
      </c>
      <c r="D61" s="14">
        <v>2234.0</v>
      </c>
      <c r="E61" s="16"/>
      <c r="F61" s="14">
        <f t="shared" si="3"/>
        <v>2234</v>
      </c>
      <c r="G61" s="19">
        <f t="shared" si="4"/>
        <v>14384</v>
      </c>
    </row>
    <row r="62">
      <c r="A62" s="24"/>
      <c r="B62" s="24"/>
      <c r="C62" s="26"/>
      <c r="D62" s="27">
        <v>31.0</v>
      </c>
      <c r="E62" s="28"/>
      <c r="F62" s="27">
        <f>SUM(F33:F61)</f>
        <v>14384</v>
      </c>
      <c r="G62" s="29">
        <f>G61</f>
        <v>14384</v>
      </c>
    </row>
    <row r="63">
      <c r="C63" s="30"/>
      <c r="G63" s="30"/>
    </row>
    <row r="64">
      <c r="A64" s="4" t="s">
        <v>320</v>
      </c>
      <c r="B64" s="5"/>
      <c r="C64" s="5"/>
      <c r="D64" s="5"/>
      <c r="E64" s="5"/>
      <c r="F64" s="5"/>
      <c r="G64" s="6"/>
    </row>
    <row r="65">
      <c r="A65" s="7"/>
      <c r="B65" s="8"/>
      <c r="C65" s="8"/>
      <c r="D65" s="8"/>
      <c r="E65" s="8"/>
      <c r="F65" s="8"/>
      <c r="G65" s="9"/>
    </row>
    <row r="66">
      <c r="A66" s="10"/>
      <c r="B66" s="10" t="s">
        <v>6</v>
      </c>
      <c r="C66" s="11" t="s">
        <v>7</v>
      </c>
      <c r="D66" s="10" t="s">
        <v>8</v>
      </c>
      <c r="E66" s="10" t="s">
        <v>9</v>
      </c>
      <c r="F66" s="10" t="s">
        <v>10</v>
      </c>
      <c r="G66" s="11" t="s">
        <v>11</v>
      </c>
    </row>
    <row r="67">
      <c r="A67" s="12">
        <v>1.0</v>
      </c>
      <c r="B67" s="12" t="s">
        <v>106</v>
      </c>
      <c r="C67" s="13" t="s">
        <v>107</v>
      </c>
      <c r="D67" s="14">
        <v>418.0</v>
      </c>
      <c r="E67" s="16"/>
      <c r="F67" s="14">
        <f t="shared" ref="F67:F99" si="5">SUM(D67:E67)</f>
        <v>418</v>
      </c>
      <c r="G67" s="19">
        <f>F67</f>
        <v>418</v>
      </c>
    </row>
    <row r="68">
      <c r="A68" s="12">
        <v>2.0</v>
      </c>
      <c r="B68" s="12" t="s">
        <v>67</v>
      </c>
      <c r="C68" s="13" t="s">
        <v>222</v>
      </c>
      <c r="D68" s="14">
        <v>439.0</v>
      </c>
      <c r="E68" s="16"/>
      <c r="F68" s="14">
        <f t="shared" si="5"/>
        <v>439</v>
      </c>
      <c r="G68" s="19">
        <f t="shared" ref="G68:G99" si="6">G67+F68</f>
        <v>857</v>
      </c>
    </row>
    <row r="69">
      <c r="A69" s="12">
        <v>3.0</v>
      </c>
      <c r="B69" s="12" t="s">
        <v>67</v>
      </c>
      <c r="C69" s="13" t="s">
        <v>222</v>
      </c>
      <c r="D69" s="14">
        <v>461.0</v>
      </c>
      <c r="E69" s="16"/>
      <c r="F69" s="14">
        <f t="shared" si="5"/>
        <v>461</v>
      </c>
      <c r="G69" s="19">
        <f t="shared" si="6"/>
        <v>1318</v>
      </c>
    </row>
    <row r="70">
      <c r="A70" s="12">
        <v>4.0</v>
      </c>
      <c r="B70" s="12" t="s">
        <v>173</v>
      </c>
      <c r="C70" s="13" t="s">
        <v>220</v>
      </c>
      <c r="D70" s="14">
        <v>461.0</v>
      </c>
      <c r="E70" s="16"/>
      <c r="F70" s="14">
        <f t="shared" si="5"/>
        <v>461</v>
      </c>
      <c r="G70" s="19">
        <f t="shared" si="6"/>
        <v>1779</v>
      </c>
    </row>
    <row r="71">
      <c r="A71" s="12">
        <v>5.0</v>
      </c>
      <c r="B71" s="12" t="s">
        <v>67</v>
      </c>
      <c r="C71" s="13" t="s">
        <v>222</v>
      </c>
      <c r="D71" s="14">
        <v>439.0</v>
      </c>
      <c r="E71" s="16"/>
      <c r="F71" s="14">
        <f t="shared" si="5"/>
        <v>439</v>
      </c>
      <c r="G71" s="19">
        <f t="shared" si="6"/>
        <v>2218</v>
      </c>
    </row>
    <row r="72">
      <c r="A72" s="12">
        <v>6.0</v>
      </c>
      <c r="B72" s="12" t="s">
        <v>67</v>
      </c>
      <c r="C72" s="13" t="s">
        <v>222</v>
      </c>
      <c r="D72" s="14">
        <v>461.0</v>
      </c>
      <c r="E72" s="16"/>
      <c r="F72" s="14">
        <f t="shared" si="5"/>
        <v>461</v>
      </c>
      <c r="G72" s="19">
        <f t="shared" si="6"/>
        <v>2679</v>
      </c>
    </row>
    <row r="73">
      <c r="A73" s="12">
        <v>7.0</v>
      </c>
      <c r="B73" s="12" t="s">
        <v>173</v>
      </c>
      <c r="C73" s="13" t="s">
        <v>220</v>
      </c>
      <c r="D73" s="14">
        <v>461.0</v>
      </c>
      <c r="E73" s="16"/>
      <c r="F73" s="14">
        <f t="shared" si="5"/>
        <v>461</v>
      </c>
      <c r="G73" s="19">
        <f t="shared" si="6"/>
        <v>3140</v>
      </c>
    </row>
    <row r="74">
      <c r="A74" s="12">
        <v>8.0</v>
      </c>
      <c r="B74" s="12" t="s">
        <v>180</v>
      </c>
      <c r="C74" s="13" t="s">
        <v>229</v>
      </c>
      <c r="D74" s="14">
        <v>823.0</v>
      </c>
      <c r="E74" s="14">
        <v>864.0</v>
      </c>
      <c r="F74" s="14">
        <f t="shared" si="5"/>
        <v>1687</v>
      </c>
      <c r="G74" s="19">
        <f t="shared" si="6"/>
        <v>4827</v>
      </c>
    </row>
    <row r="75">
      <c r="A75" s="12">
        <v>9.0</v>
      </c>
      <c r="B75" s="12" t="s">
        <v>170</v>
      </c>
      <c r="C75" s="13" t="s">
        <v>217</v>
      </c>
      <c r="D75" s="14">
        <v>418.0</v>
      </c>
      <c r="E75" s="16"/>
      <c r="F75" s="14">
        <f t="shared" si="5"/>
        <v>418</v>
      </c>
      <c r="G75" s="19">
        <f t="shared" si="6"/>
        <v>5245</v>
      </c>
    </row>
    <row r="76">
      <c r="A76" s="12">
        <v>10.0</v>
      </c>
      <c r="B76" s="12" t="s">
        <v>170</v>
      </c>
      <c r="C76" s="13" t="s">
        <v>217</v>
      </c>
      <c r="D76" s="14">
        <v>439.0</v>
      </c>
      <c r="E76" s="16"/>
      <c r="F76" s="14">
        <f t="shared" si="5"/>
        <v>439</v>
      </c>
      <c r="G76" s="19">
        <f t="shared" si="6"/>
        <v>5684</v>
      </c>
    </row>
    <row r="77">
      <c r="A77" s="12">
        <v>11.0</v>
      </c>
      <c r="B77" s="12" t="s">
        <v>170</v>
      </c>
      <c r="C77" s="13" t="s">
        <v>217</v>
      </c>
      <c r="D77" s="14">
        <v>461.0</v>
      </c>
      <c r="E77" s="16"/>
      <c r="F77" s="14">
        <f t="shared" si="5"/>
        <v>461</v>
      </c>
      <c r="G77" s="19">
        <f t="shared" si="6"/>
        <v>6145</v>
      </c>
    </row>
    <row r="78">
      <c r="A78" s="12">
        <v>12.0</v>
      </c>
      <c r="B78" s="12" t="s">
        <v>177</v>
      </c>
      <c r="C78" s="13" t="s">
        <v>223</v>
      </c>
      <c r="D78" s="14">
        <v>461.0</v>
      </c>
      <c r="E78" s="16"/>
      <c r="F78" s="14">
        <f t="shared" si="5"/>
        <v>461</v>
      </c>
      <c r="G78" s="19">
        <f t="shared" si="6"/>
        <v>6606</v>
      </c>
    </row>
    <row r="79">
      <c r="A79" s="12">
        <v>13.0</v>
      </c>
      <c r="B79" s="12" t="s">
        <v>170</v>
      </c>
      <c r="C79" s="13" t="s">
        <v>217</v>
      </c>
      <c r="D79" s="14">
        <v>439.0</v>
      </c>
      <c r="E79" s="16"/>
      <c r="F79" s="14">
        <f t="shared" si="5"/>
        <v>439</v>
      </c>
      <c r="G79" s="19">
        <f t="shared" si="6"/>
        <v>7045</v>
      </c>
    </row>
    <row r="80">
      <c r="A80" s="12">
        <v>14.0</v>
      </c>
      <c r="B80" s="12" t="s">
        <v>170</v>
      </c>
      <c r="C80" s="13" t="s">
        <v>217</v>
      </c>
      <c r="D80" s="14">
        <v>461.0</v>
      </c>
      <c r="E80" s="16"/>
      <c r="F80" s="14">
        <f t="shared" si="5"/>
        <v>461</v>
      </c>
      <c r="G80" s="19">
        <f t="shared" si="6"/>
        <v>7506</v>
      </c>
    </row>
    <row r="81">
      <c r="A81" s="12">
        <v>15.0</v>
      </c>
      <c r="B81" s="12" t="s">
        <v>177</v>
      </c>
      <c r="C81" s="13" t="s">
        <v>223</v>
      </c>
      <c r="D81" s="14">
        <v>461.0</v>
      </c>
      <c r="E81" s="16"/>
      <c r="F81" s="14">
        <f t="shared" si="5"/>
        <v>461</v>
      </c>
      <c r="G81" s="19">
        <f t="shared" si="6"/>
        <v>7967</v>
      </c>
    </row>
    <row r="82">
      <c r="A82" s="12">
        <v>16.0</v>
      </c>
      <c r="B82" s="12" t="s">
        <v>104</v>
      </c>
      <c r="C82" s="13" t="s">
        <v>105</v>
      </c>
      <c r="D82" s="14">
        <v>484.0</v>
      </c>
      <c r="E82" s="16"/>
      <c r="F82" s="14">
        <f t="shared" si="5"/>
        <v>484</v>
      </c>
      <c r="G82" s="19">
        <f t="shared" si="6"/>
        <v>8451</v>
      </c>
    </row>
    <row r="83">
      <c r="A83" s="12">
        <v>17.0</v>
      </c>
      <c r="B83" s="12" t="s">
        <v>322</v>
      </c>
      <c r="C83" s="13" t="s">
        <v>353</v>
      </c>
      <c r="D83" s="14">
        <v>2288.0</v>
      </c>
      <c r="E83" s="16"/>
      <c r="F83" s="14">
        <f t="shared" si="5"/>
        <v>2288</v>
      </c>
      <c r="G83" s="19">
        <f t="shared" si="6"/>
        <v>10739</v>
      </c>
    </row>
    <row r="84">
      <c r="A84" s="12">
        <v>18.0</v>
      </c>
      <c r="B84" s="12" t="s">
        <v>104</v>
      </c>
      <c r="C84" s="13" t="s">
        <v>105</v>
      </c>
      <c r="D84" s="14">
        <v>418.0</v>
      </c>
      <c r="E84" s="16"/>
      <c r="F84" s="14">
        <f t="shared" si="5"/>
        <v>418</v>
      </c>
      <c r="G84" s="19">
        <f t="shared" si="6"/>
        <v>11157</v>
      </c>
    </row>
    <row r="85">
      <c r="A85" s="12">
        <v>19.0</v>
      </c>
      <c r="B85" s="12" t="s">
        <v>170</v>
      </c>
      <c r="C85" s="13" t="s">
        <v>217</v>
      </c>
      <c r="D85" s="14">
        <v>439.0</v>
      </c>
      <c r="E85" s="16"/>
      <c r="F85" s="14">
        <f t="shared" si="5"/>
        <v>439</v>
      </c>
      <c r="G85" s="19">
        <f t="shared" si="6"/>
        <v>11596</v>
      </c>
    </row>
    <row r="86">
      <c r="A86" s="12">
        <v>20.0</v>
      </c>
      <c r="B86" s="12" t="s">
        <v>170</v>
      </c>
      <c r="C86" s="13" t="s">
        <v>217</v>
      </c>
      <c r="D86" s="14">
        <v>461.0</v>
      </c>
      <c r="E86" s="16"/>
      <c r="F86" s="14">
        <f t="shared" si="5"/>
        <v>461</v>
      </c>
      <c r="G86" s="19">
        <f t="shared" si="6"/>
        <v>12057</v>
      </c>
    </row>
    <row r="87">
      <c r="A87" s="12">
        <v>21.0</v>
      </c>
      <c r="B87" s="12" t="s">
        <v>177</v>
      </c>
      <c r="C87" s="13" t="s">
        <v>223</v>
      </c>
      <c r="D87" s="14">
        <v>461.0</v>
      </c>
      <c r="E87" s="16"/>
      <c r="F87" s="14">
        <f t="shared" si="5"/>
        <v>461</v>
      </c>
      <c r="G87" s="19">
        <f t="shared" si="6"/>
        <v>12518</v>
      </c>
    </row>
    <row r="88">
      <c r="A88" s="12">
        <v>22.0</v>
      </c>
      <c r="B88" s="12" t="s">
        <v>170</v>
      </c>
      <c r="C88" s="13" t="s">
        <v>217</v>
      </c>
      <c r="D88" s="14">
        <v>439.0</v>
      </c>
      <c r="E88" s="16"/>
      <c r="F88" s="14">
        <f t="shared" si="5"/>
        <v>439</v>
      </c>
      <c r="G88" s="19">
        <f t="shared" si="6"/>
        <v>12957</v>
      </c>
    </row>
    <row r="89">
      <c r="A89" s="12">
        <v>23.0</v>
      </c>
      <c r="B89" s="12" t="s">
        <v>170</v>
      </c>
      <c r="C89" s="13" t="s">
        <v>217</v>
      </c>
      <c r="D89" s="14">
        <v>461.0</v>
      </c>
      <c r="E89" s="16"/>
      <c r="F89" s="14">
        <f t="shared" si="5"/>
        <v>461</v>
      </c>
      <c r="G89" s="19">
        <f t="shared" si="6"/>
        <v>13418</v>
      </c>
    </row>
    <row r="90">
      <c r="A90" s="12">
        <v>24.0</v>
      </c>
      <c r="B90" s="12" t="s">
        <v>177</v>
      </c>
      <c r="C90" s="13" t="s">
        <v>223</v>
      </c>
      <c r="D90" s="14">
        <v>461.0</v>
      </c>
      <c r="E90" s="16"/>
      <c r="F90" s="14">
        <f t="shared" si="5"/>
        <v>461</v>
      </c>
      <c r="G90" s="19">
        <f t="shared" si="6"/>
        <v>13879</v>
      </c>
    </row>
    <row r="91">
      <c r="A91" s="12">
        <v>25.0</v>
      </c>
      <c r="B91" s="12" t="s">
        <v>106</v>
      </c>
      <c r="C91" s="13" t="s">
        <v>107</v>
      </c>
      <c r="D91" s="14">
        <v>484.0</v>
      </c>
      <c r="E91" s="16"/>
      <c r="F91" s="14">
        <f t="shared" si="5"/>
        <v>484</v>
      </c>
      <c r="G91" s="19">
        <f t="shared" si="6"/>
        <v>14363</v>
      </c>
    </row>
    <row r="92">
      <c r="A92" s="12">
        <v>26.0</v>
      </c>
      <c r="B92" s="12" t="s">
        <v>67</v>
      </c>
      <c r="C92" s="13" t="s">
        <v>222</v>
      </c>
      <c r="D92" s="14">
        <v>418.0</v>
      </c>
      <c r="E92" s="16"/>
      <c r="F92" s="14">
        <f t="shared" si="5"/>
        <v>418</v>
      </c>
      <c r="G92" s="19">
        <f t="shared" si="6"/>
        <v>14781</v>
      </c>
    </row>
    <row r="93">
      <c r="A93" s="12">
        <v>27.0</v>
      </c>
      <c r="B93" s="12" t="s">
        <v>67</v>
      </c>
      <c r="C93" s="13" t="s">
        <v>222</v>
      </c>
      <c r="D93" s="14">
        <v>439.0</v>
      </c>
      <c r="E93" s="16"/>
      <c r="F93" s="14">
        <f t="shared" si="5"/>
        <v>439</v>
      </c>
      <c r="G93" s="19">
        <f t="shared" si="6"/>
        <v>15220</v>
      </c>
    </row>
    <row r="94">
      <c r="A94" s="12">
        <v>28.0</v>
      </c>
      <c r="B94" s="12" t="s">
        <v>67</v>
      </c>
      <c r="C94" s="13" t="s">
        <v>222</v>
      </c>
      <c r="D94" s="14">
        <v>461.0</v>
      </c>
      <c r="E94" s="16"/>
      <c r="F94" s="14">
        <f t="shared" si="5"/>
        <v>461</v>
      </c>
      <c r="G94" s="19">
        <f t="shared" si="6"/>
        <v>15681</v>
      </c>
    </row>
    <row r="95">
      <c r="A95" s="12">
        <v>29.0</v>
      </c>
      <c r="B95" s="12" t="s">
        <v>173</v>
      </c>
      <c r="C95" s="13" t="s">
        <v>220</v>
      </c>
      <c r="D95" s="14">
        <v>461.0</v>
      </c>
      <c r="E95" s="16"/>
      <c r="F95" s="14">
        <f t="shared" si="5"/>
        <v>461</v>
      </c>
      <c r="G95" s="19">
        <f t="shared" si="6"/>
        <v>16142</v>
      </c>
    </row>
    <row r="96">
      <c r="A96" s="12">
        <v>30.0</v>
      </c>
      <c r="B96" s="12" t="s">
        <v>67</v>
      </c>
      <c r="C96" s="13" t="s">
        <v>222</v>
      </c>
      <c r="D96" s="14">
        <v>439.0</v>
      </c>
      <c r="E96" s="16"/>
      <c r="F96" s="14">
        <f t="shared" si="5"/>
        <v>439</v>
      </c>
      <c r="G96" s="19">
        <f t="shared" si="6"/>
        <v>16581</v>
      </c>
    </row>
    <row r="97">
      <c r="A97" s="12">
        <v>31.0</v>
      </c>
      <c r="B97" s="12" t="s">
        <v>67</v>
      </c>
      <c r="C97" s="13" t="s">
        <v>222</v>
      </c>
      <c r="D97" s="14">
        <v>461.0</v>
      </c>
      <c r="E97" s="16"/>
      <c r="F97" s="14">
        <f t="shared" si="5"/>
        <v>461</v>
      </c>
      <c r="G97" s="19">
        <f t="shared" si="6"/>
        <v>17042</v>
      </c>
    </row>
    <row r="98">
      <c r="A98" s="12">
        <v>32.0</v>
      </c>
      <c r="B98" s="12" t="s">
        <v>173</v>
      </c>
      <c r="C98" s="13" t="s">
        <v>220</v>
      </c>
      <c r="D98" s="14">
        <v>461.0</v>
      </c>
      <c r="E98" s="16"/>
      <c r="F98" s="14">
        <f t="shared" si="5"/>
        <v>461</v>
      </c>
      <c r="G98" s="19">
        <f t="shared" si="6"/>
        <v>17503</v>
      </c>
    </row>
    <row r="99">
      <c r="A99" s="12">
        <v>33.0</v>
      </c>
      <c r="B99" s="12" t="s">
        <v>180</v>
      </c>
      <c r="C99" s="13" t="s">
        <v>229</v>
      </c>
      <c r="D99" s="14">
        <v>823.0</v>
      </c>
      <c r="E99" s="14">
        <v>864.0</v>
      </c>
      <c r="F99" s="14">
        <f t="shared" si="5"/>
        <v>1687</v>
      </c>
      <c r="G99" s="19">
        <f t="shared" si="6"/>
        <v>19190</v>
      </c>
    </row>
    <row r="100">
      <c r="A100" s="24"/>
      <c r="B100" s="24"/>
      <c r="C100" s="26"/>
      <c r="D100" s="27">
        <v>35.0</v>
      </c>
      <c r="E100" s="28"/>
      <c r="F100" s="27">
        <f>SUM(F67:F99)</f>
        <v>19190</v>
      </c>
      <c r="G100" s="29">
        <f>G99</f>
        <v>19190</v>
      </c>
    </row>
    <row r="101">
      <c r="C101" s="30"/>
      <c r="G101" s="30"/>
    </row>
    <row r="102">
      <c r="A102" s="4" t="s">
        <v>327</v>
      </c>
      <c r="B102" s="5"/>
      <c r="C102" s="5"/>
      <c r="D102" s="5"/>
      <c r="E102" s="5"/>
      <c r="F102" s="5"/>
      <c r="G102" s="6"/>
    </row>
    <row r="103">
      <c r="A103" s="7"/>
      <c r="B103" s="8"/>
      <c r="C103" s="8"/>
      <c r="D103" s="8"/>
      <c r="E103" s="8"/>
      <c r="F103" s="8"/>
      <c r="G103" s="9"/>
    </row>
    <row r="104">
      <c r="A104" s="10"/>
      <c r="B104" s="10" t="s">
        <v>6</v>
      </c>
      <c r="C104" s="11" t="s">
        <v>7</v>
      </c>
      <c r="D104" s="10" t="s">
        <v>8</v>
      </c>
      <c r="E104" s="10" t="s">
        <v>9</v>
      </c>
      <c r="F104" s="10" t="s">
        <v>10</v>
      </c>
      <c r="G104" s="11" t="s">
        <v>11</v>
      </c>
    </row>
    <row r="105">
      <c r="A105" s="12">
        <v>1.0</v>
      </c>
      <c r="B105" s="12" t="s">
        <v>200</v>
      </c>
      <c r="C105" s="13" t="s">
        <v>368</v>
      </c>
      <c r="D105" s="14">
        <v>530.0</v>
      </c>
      <c r="E105" s="16"/>
      <c r="F105" s="14">
        <f t="shared" ref="F105:F138" si="7">SUM(D105:E105)</f>
        <v>530</v>
      </c>
      <c r="G105" s="19">
        <f>F105</f>
        <v>530</v>
      </c>
    </row>
    <row r="106">
      <c r="A106" s="12">
        <v>2.0</v>
      </c>
      <c r="B106" s="12" t="s">
        <v>202</v>
      </c>
      <c r="C106" s="13" t="s">
        <v>372</v>
      </c>
      <c r="D106" s="14">
        <v>557.0</v>
      </c>
      <c r="E106" s="16"/>
      <c r="F106" s="14">
        <f t="shared" si="7"/>
        <v>557</v>
      </c>
      <c r="G106" s="19">
        <f t="shared" ref="G106:G138" si="8">G105+F106</f>
        <v>1087</v>
      </c>
    </row>
    <row r="107">
      <c r="A107" s="12">
        <v>3.0</v>
      </c>
      <c r="B107" s="12" t="s">
        <v>202</v>
      </c>
      <c r="C107" s="13" t="s">
        <v>372</v>
      </c>
      <c r="D107" s="14">
        <v>585.0</v>
      </c>
      <c r="E107" s="16"/>
      <c r="F107" s="14">
        <f t="shared" si="7"/>
        <v>585</v>
      </c>
      <c r="G107" s="19">
        <f t="shared" si="8"/>
        <v>1672</v>
      </c>
    </row>
    <row r="108">
      <c r="A108" s="12">
        <v>4.0</v>
      </c>
      <c r="B108" s="12" t="s">
        <v>202</v>
      </c>
      <c r="C108" s="13" t="s">
        <v>372</v>
      </c>
      <c r="D108" s="14">
        <v>614.0</v>
      </c>
      <c r="E108" s="16"/>
      <c r="F108" s="14">
        <f t="shared" si="7"/>
        <v>614</v>
      </c>
      <c r="G108" s="19">
        <f t="shared" si="8"/>
        <v>2286</v>
      </c>
    </row>
    <row r="109">
      <c r="A109" s="12">
        <v>5.0</v>
      </c>
      <c r="B109" s="12" t="s">
        <v>200</v>
      </c>
      <c r="C109" s="13" t="s">
        <v>368</v>
      </c>
      <c r="D109" s="14">
        <v>557.0</v>
      </c>
      <c r="E109" s="16"/>
      <c r="F109" s="14">
        <f t="shared" si="7"/>
        <v>557</v>
      </c>
      <c r="G109" s="19">
        <f t="shared" si="8"/>
        <v>2843</v>
      </c>
    </row>
    <row r="110">
      <c r="A110" s="12">
        <v>6.0</v>
      </c>
      <c r="B110" s="12" t="s">
        <v>210</v>
      </c>
      <c r="C110" s="13" t="s">
        <v>373</v>
      </c>
      <c r="D110" s="14">
        <v>585.0</v>
      </c>
      <c r="E110" s="16"/>
      <c r="F110" s="14">
        <f t="shared" si="7"/>
        <v>585</v>
      </c>
      <c r="G110" s="19">
        <f t="shared" si="8"/>
        <v>3428</v>
      </c>
    </row>
    <row r="111">
      <c r="A111" s="12">
        <v>7.0</v>
      </c>
      <c r="B111" s="12" t="s">
        <v>210</v>
      </c>
      <c r="C111" s="13" t="s">
        <v>373</v>
      </c>
      <c r="D111" s="14">
        <v>614.0</v>
      </c>
      <c r="E111" s="16"/>
      <c r="F111" s="14">
        <f t="shared" si="7"/>
        <v>614</v>
      </c>
      <c r="G111" s="19">
        <f t="shared" si="8"/>
        <v>4042</v>
      </c>
    </row>
    <row r="112">
      <c r="A112" s="12">
        <v>8.0</v>
      </c>
      <c r="B112" s="12" t="s">
        <v>206</v>
      </c>
      <c r="C112" s="13" t="s">
        <v>375</v>
      </c>
      <c r="D112" s="14">
        <v>557.0</v>
      </c>
      <c r="E112" s="16"/>
      <c r="F112" s="14">
        <f t="shared" si="7"/>
        <v>557</v>
      </c>
      <c r="G112" s="19">
        <f t="shared" si="8"/>
        <v>4599</v>
      </c>
    </row>
    <row r="113">
      <c r="A113" s="12">
        <v>9.0</v>
      </c>
      <c r="B113" s="12" t="s">
        <v>206</v>
      </c>
      <c r="C113" s="13" t="s">
        <v>375</v>
      </c>
      <c r="D113" s="14">
        <v>585.0</v>
      </c>
      <c r="E113" s="16"/>
      <c r="F113" s="14">
        <f t="shared" si="7"/>
        <v>585</v>
      </c>
      <c r="G113" s="19">
        <f t="shared" si="8"/>
        <v>5184</v>
      </c>
    </row>
    <row r="114">
      <c r="A114" s="12">
        <v>10.0</v>
      </c>
      <c r="B114" s="12" t="s">
        <v>206</v>
      </c>
      <c r="C114" s="13" t="s">
        <v>375</v>
      </c>
      <c r="D114" s="14">
        <v>614.0</v>
      </c>
      <c r="E114" s="16"/>
      <c r="F114" s="14">
        <f t="shared" si="7"/>
        <v>614</v>
      </c>
      <c r="G114" s="19">
        <f t="shared" si="8"/>
        <v>5798</v>
      </c>
    </row>
    <row r="115">
      <c r="A115" s="12">
        <v>11.0</v>
      </c>
      <c r="B115" s="12" t="s">
        <v>212</v>
      </c>
      <c r="C115" s="13" t="s">
        <v>376</v>
      </c>
      <c r="D115" s="14">
        <v>1096.0</v>
      </c>
      <c r="E115" s="14">
        <v>1151.0</v>
      </c>
      <c r="F115" s="14">
        <f t="shared" si="7"/>
        <v>2247</v>
      </c>
      <c r="G115" s="19">
        <f t="shared" si="8"/>
        <v>8045</v>
      </c>
    </row>
    <row r="116">
      <c r="A116" s="12">
        <v>12.0</v>
      </c>
      <c r="B116" s="12" t="s">
        <v>214</v>
      </c>
      <c r="C116" s="13" t="s">
        <v>377</v>
      </c>
      <c r="D116" s="14">
        <v>530.0</v>
      </c>
      <c r="E116" s="16"/>
      <c r="F116" s="14">
        <f t="shared" si="7"/>
        <v>530</v>
      </c>
      <c r="G116" s="19">
        <f t="shared" si="8"/>
        <v>8575</v>
      </c>
    </row>
    <row r="117">
      <c r="A117" s="12">
        <v>13.0</v>
      </c>
      <c r="B117" s="12" t="s">
        <v>218</v>
      </c>
      <c r="C117" s="13" t="s">
        <v>378</v>
      </c>
      <c r="D117" s="14">
        <v>557.0</v>
      </c>
      <c r="E117" s="16"/>
      <c r="F117" s="14">
        <f t="shared" si="7"/>
        <v>557</v>
      </c>
      <c r="G117" s="19">
        <f t="shared" si="8"/>
        <v>9132</v>
      </c>
    </row>
    <row r="118">
      <c r="A118" s="12">
        <v>14.0</v>
      </c>
      <c r="B118" s="12" t="s">
        <v>218</v>
      </c>
      <c r="C118" s="13" t="s">
        <v>378</v>
      </c>
      <c r="D118" s="14">
        <v>585.0</v>
      </c>
      <c r="E118" s="16"/>
      <c r="F118" s="14">
        <f t="shared" si="7"/>
        <v>585</v>
      </c>
      <c r="G118" s="19">
        <f t="shared" si="8"/>
        <v>9717</v>
      </c>
    </row>
    <row r="119">
      <c r="A119" s="12">
        <v>15.0</v>
      </c>
      <c r="B119" s="12" t="s">
        <v>218</v>
      </c>
      <c r="C119" s="13" t="s">
        <v>378</v>
      </c>
      <c r="D119" s="14">
        <v>614.0</v>
      </c>
      <c r="E119" s="16"/>
      <c r="F119" s="14">
        <f t="shared" si="7"/>
        <v>614</v>
      </c>
      <c r="G119" s="19">
        <f t="shared" si="8"/>
        <v>10331</v>
      </c>
    </row>
    <row r="120">
      <c r="A120" s="12">
        <v>16.0</v>
      </c>
      <c r="B120" s="12" t="s">
        <v>214</v>
      </c>
      <c r="C120" s="13" t="s">
        <v>377</v>
      </c>
      <c r="D120" s="14">
        <v>557.0</v>
      </c>
      <c r="E120" s="16"/>
      <c r="F120" s="14">
        <f t="shared" si="7"/>
        <v>557</v>
      </c>
      <c r="G120" s="19">
        <f t="shared" si="8"/>
        <v>10888</v>
      </c>
    </row>
    <row r="121">
      <c r="A121" s="12">
        <v>17.0</v>
      </c>
      <c r="B121" s="12" t="s">
        <v>224</v>
      </c>
      <c r="C121" s="13" t="s">
        <v>379</v>
      </c>
      <c r="D121" s="14">
        <v>585.0</v>
      </c>
      <c r="E121" s="16"/>
      <c r="F121" s="14">
        <f t="shared" si="7"/>
        <v>585</v>
      </c>
      <c r="G121" s="19">
        <f t="shared" si="8"/>
        <v>11473</v>
      </c>
    </row>
    <row r="122">
      <c r="A122" s="12">
        <v>18.0</v>
      </c>
      <c r="B122" s="12" t="s">
        <v>224</v>
      </c>
      <c r="C122" s="13" t="s">
        <v>379</v>
      </c>
      <c r="D122" s="14">
        <v>614.0</v>
      </c>
      <c r="E122" s="16"/>
      <c r="F122" s="14">
        <f t="shared" si="7"/>
        <v>614</v>
      </c>
      <c r="G122" s="19">
        <f t="shared" si="8"/>
        <v>12087</v>
      </c>
    </row>
    <row r="123">
      <c r="A123" s="12">
        <v>19.0</v>
      </c>
      <c r="B123" s="12" t="s">
        <v>157</v>
      </c>
      <c r="C123" s="13" t="s">
        <v>381</v>
      </c>
      <c r="D123" s="14">
        <v>557.0</v>
      </c>
      <c r="E123" s="16"/>
      <c r="F123" s="14">
        <f t="shared" si="7"/>
        <v>557</v>
      </c>
      <c r="G123" s="19">
        <f t="shared" si="8"/>
        <v>12644</v>
      </c>
    </row>
    <row r="124">
      <c r="A124" s="12">
        <v>20.0</v>
      </c>
      <c r="B124" s="12" t="s">
        <v>157</v>
      </c>
      <c r="C124" s="13" t="s">
        <v>381</v>
      </c>
      <c r="D124" s="14">
        <v>585.0</v>
      </c>
      <c r="E124" s="16"/>
      <c r="F124" s="14">
        <f t="shared" si="7"/>
        <v>585</v>
      </c>
      <c r="G124" s="19">
        <f t="shared" si="8"/>
        <v>13229</v>
      </c>
    </row>
    <row r="125">
      <c r="A125" s="12">
        <v>21.0</v>
      </c>
      <c r="B125" s="12" t="s">
        <v>157</v>
      </c>
      <c r="C125" s="13" t="s">
        <v>381</v>
      </c>
      <c r="D125" s="14">
        <v>614.0</v>
      </c>
      <c r="E125" s="16"/>
      <c r="F125" s="14">
        <f t="shared" si="7"/>
        <v>614</v>
      </c>
      <c r="G125" s="19">
        <f t="shared" si="8"/>
        <v>13843</v>
      </c>
    </row>
    <row r="126">
      <c r="A126" s="12">
        <v>22.0</v>
      </c>
      <c r="B126" s="12" t="s">
        <v>230</v>
      </c>
      <c r="C126" s="13" t="s">
        <v>382</v>
      </c>
      <c r="D126" s="14">
        <v>1096.0</v>
      </c>
      <c r="E126" s="14">
        <v>1151.0</v>
      </c>
      <c r="F126" s="14">
        <f t="shared" si="7"/>
        <v>2247</v>
      </c>
      <c r="G126" s="19">
        <f t="shared" si="8"/>
        <v>16090</v>
      </c>
    </row>
    <row r="127">
      <c r="A127" s="12">
        <v>23.0</v>
      </c>
      <c r="B127" s="12" t="s">
        <v>226</v>
      </c>
      <c r="C127" s="13" t="s">
        <v>383</v>
      </c>
      <c r="D127" s="14">
        <v>530.0</v>
      </c>
      <c r="E127" s="16"/>
      <c r="F127" s="14">
        <f t="shared" si="7"/>
        <v>530</v>
      </c>
      <c r="G127" s="19">
        <f t="shared" si="8"/>
        <v>16620</v>
      </c>
    </row>
    <row r="128">
      <c r="A128" s="12">
        <v>24.0</v>
      </c>
      <c r="B128" s="12" t="s">
        <v>237</v>
      </c>
      <c r="C128" s="13" t="s">
        <v>384</v>
      </c>
      <c r="D128" s="14">
        <v>557.0</v>
      </c>
      <c r="E128" s="16"/>
      <c r="F128" s="14">
        <f t="shared" si="7"/>
        <v>557</v>
      </c>
      <c r="G128" s="19">
        <f t="shared" si="8"/>
        <v>17177</v>
      </c>
    </row>
    <row r="129">
      <c r="A129" s="12">
        <v>25.0</v>
      </c>
      <c r="B129" s="12" t="s">
        <v>237</v>
      </c>
      <c r="C129" s="13" t="s">
        <v>384</v>
      </c>
      <c r="D129" s="14">
        <v>585.0</v>
      </c>
      <c r="E129" s="16"/>
      <c r="F129" s="14">
        <f t="shared" si="7"/>
        <v>585</v>
      </c>
      <c r="G129" s="19">
        <f t="shared" si="8"/>
        <v>17762</v>
      </c>
    </row>
    <row r="130">
      <c r="A130" s="12">
        <v>26.0</v>
      </c>
      <c r="B130" s="12" t="s">
        <v>237</v>
      </c>
      <c r="C130" s="13" t="s">
        <v>384</v>
      </c>
      <c r="D130" s="14">
        <v>614.0</v>
      </c>
      <c r="E130" s="16"/>
      <c r="F130" s="14">
        <f t="shared" si="7"/>
        <v>614</v>
      </c>
      <c r="G130" s="19">
        <f t="shared" si="8"/>
        <v>18376</v>
      </c>
    </row>
    <row r="131">
      <c r="A131" s="12">
        <v>27.0</v>
      </c>
      <c r="B131" s="12" t="s">
        <v>226</v>
      </c>
      <c r="C131" s="13" t="s">
        <v>383</v>
      </c>
      <c r="D131" s="14">
        <v>557.0</v>
      </c>
      <c r="E131" s="16"/>
      <c r="F131" s="14">
        <f t="shared" si="7"/>
        <v>557</v>
      </c>
      <c r="G131" s="19">
        <f t="shared" si="8"/>
        <v>18933</v>
      </c>
    </row>
    <row r="132">
      <c r="A132" s="12">
        <v>28.0</v>
      </c>
      <c r="B132" s="12" t="s">
        <v>242</v>
      </c>
      <c r="C132" s="13" t="s">
        <v>386</v>
      </c>
      <c r="D132" s="14">
        <v>585.0</v>
      </c>
      <c r="E132" s="16"/>
      <c r="F132" s="14">
        <f t="shared" si="7"/>
        <v>585</v>
      </c>
      <c r="G132" s="19">
        <f t="shared" si="8"/>
        <v>19518</v>
      </c>
    </row>
    <row r="133">
      <c r="A133" s="12">
        <v>29.0</v>
      </c>
      <c r="B133" s="12" t="s">
        <v>242</v>
      </c>
      <c r="C133" s="13" t="s">
        <v>386</v>
      </c>
      <c r="D133" s="14">
        <v>614.0</v>
      </c>
      <c r="E133" s="16"/>
      <c r="F133" s="14">
        <f t="shared" si="7"/>
        <v>614</v>
      </c>
      <c r="G133" s="19">
        <f t="shared" si="8"/>
        <v>20132</v>
      </c>
    </row>
    <row r="134">
      <c r="A134" s="12">
        <v>30.0</v>
      </c>
      <c r="B134" s="12" t="s">
        <v>234</v>
      </c>
      <c r="C134" s="13" t="s">
        <v>387</v>
      </c>
      <c r="D134" s="14">
        <v>557.0</v>
      </c>
      <c r="E134" s="16"/>
      <c r="F134" s="14">
        <f t="shared" si="7"/>
        <v>557</v>
      </c>
      <c r="G134" s="19">
        <f t="shared" si="8"/>
        <v>20689</v>
      </c>
    </row>
    <row r="135">
      <c r="A135" s="12">
        <v>31.0</v>
      </c>
      <c r="B135" s="12" t="s">
        <v>234</v>
      </c>
      <c r="C135" s="13" t="s">
        <v>387</v>
      </c>
      <c r="D135" s="14">
        <v>585.0</v>
      </c>
      <c r="E135" s="16"/>
      <c r="F135" s="14">
        <f t="shared" si="7"/>
        <v>585</v>
      </c>
      <c r="G135" s="19">
        <f t="shared" si="8"/>
        <v>21274</v>
      </c>
    </row>
    <row r="136">
      <c r="A136" s="12">
        <v>32.0</v>
      </c>
      <c r="B136" s="12" t="s">
        <v>234</v>
      </c>
      <c r="C136" s="13" t="s">
        <v>387</v>
      </c>
      <c r="D136" s="14">
        <v>614.0</v>
      </c>
      <c r="E136" s="16"/>
      <c r="F136" s="14">
        <f t="shared" si="7"/>
        <v>614</v>
      </c>
      <c r="G136" s="19">
        <f t="shared" si="8"/>
        <v>21888</v>
      </c>
    </row>
    <row r="137">
      <c r="A137" s="12">
        <v>33.0</v>
      </c>
      <c r="B137" s="12" t="s">
        <v>244</v>
      </c>
      <c r="C137" s="13" t="s">
        <v>389</v>
      </c>
      <c r="D137" s="14">
        <v>1096.0</v>
      </c>
      <c r="E137" s="14">
        <v>1151.0</v>
      </c>
      <c r="F137" s="14">
        <f t="shared" si="7"/>
        <v>2247</v>
      </c>
      <c r="G137" s="19">
        <f t="shared" si="8"/>
        <v>24135</v>
      </c>
    </row>
    <row r="138">
      <c r="A138" s="12">
        <v>34.0</v>
      </c>
      <c r="B138" s="12" t="s">
        <v>390</v>
      </c>
      <c r="C138" s="23" t="s">
        <v>391</v>
      </c>
      <c r="D138" s="14">
        <v>3048.0</v>
      </c>
      <c r="E138" s="16"/>
      <c r="F138" s="14">
        <f t="shared" si="7"/>
        <v>3048</v>
      </c>
      <c r="G138" s="19">
        <f t="shared" si="8"/>
        <v>27183</v>
      </c>
    </row>
    <row r="139">
      <c r="A139" s="24"/>
      <c r="B139" s="24"/>
      <c r="C139" s="26"/>
      <c r="D139" s="27">
        <v>37.0</v>
      </c>
      <c r="E139" s="28"/>
      <c r="F139" s="27">
        <f>SUM(F105:F138)</f>
        <v>27183</v>
      </c>
      <c r="G139" s="29">
        <f>G138</f>
        <v>27183</v>
      </c>
    </row>
  </sheetData>
  <mergeCells count="4">
    <mergeCell ref="A1:G2"/>
    <mergeCell ref="A30:G31"/>
    <mergeCell ref="A64:G65"/>
    <mergeCell ref="A102:G103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18.71"/>
    <col customWidth="1" min="3" max="3" width="58.71"/>
    <col customWidth="1" min="4" max="5" width="7.14"/>
    <col customWidth="1" min="6" max="6" width="7.0"/>
    <col customWidth="1" min="7" max="7" width="8.57"/>
  </cols>
  <sheetData>
    <row r="1">
      <c r="A1" s="4" t="s">
        <v>159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12</v>
      </c>
      <c r="C4" s="13" t="s">
        <v>15</v>
      </c>
      <c r="D4" s="14">
        <v>165.0</v>
      </c>
      <c r="E4" s="16"/>
      <c r="F4" s="14">
        <f t="shared" ref="F4:F17" si="1">SUM(D4:E4)</f>
        <v>165</v>
      </c>
      <c r="G4" s="19">
        <f>F4</f>
        <v>165</v>
      </c>
    </row>
    <row r="5">
      <c r="A5" s="12">
        <v>2.0</v>
      </c>
      <c r="B5" s="12" t="s">
        <v>25</v>
      </c>
      <c r="C5" s="13" t="s">
        <v>30</v>
      </c>
      <c r="D5" s="14">
        <v>165.0</v>
      </c>
      <c r="E5" s="16"/>
      <c r="F5" s="14">
        <f t="shared" si="1"/>
        <v>165</v>
      </c>
      <c r="G5" s="19">
        <f t="shared" ref="G5:G17" si="2">G4+F5</f>
        <v>330</v>
      </c>
    </row>
    <row r="6">
      <c r="A6" s="12">
        <v>3.0</v>
      </c>
      <c r="B6" s="12" t="s">
        <v>22</v>
      </c>
      <c r="C6" s="13" t="s">
        <v>350</v>
      </c>
      <c r="D6" s="14">
        <v>294.0</v>
      </c>
      <c r="E6" s="14">
        <v>309.0</v>
      </c>
      <c r="F6" s="14">
        <f t="shared" si="1"/>
        <v>603</v>
      </c>
      <c r="G6" s="19">
        <f t="shared" si="2"/>
        <v>933</v>
      </c>
    </row>
    <row r="7">
      <c r="A7" s="12">
        <v>4.0</v>
      </c>
      <c r="B7" s="12" t="s">
        <v>12</v>
      </c>
      <c r="C7" s="13" t="s">
        <v>15</v>
      </c>
      <c r="D7" s="14">
        <v>183.0</v>
      </c>
      <c r="E7" s="16"/>
      <c r="F7" s="14">
        <f t="shared" si="1"/>
        <v>183</v>
      </c>
      <c r="G7" s="19">
        <f t="shared" si="2"/>
        <v>1116</v>
      </c>
    </row>
    <row r="8">
      <c r="A8" s="12">
        <v>5.0</v>
      </c>
      <c r="B8" s="12" t="s">
        <v>12</v>
      </c>
      <c r="C8" s="13" t="s">
        <v>15</v>
      </c>
      <c r="D8" s="14">
        <v>191.0</v>
      </c>
      <c r="E8" s="16"/>
      <c r="F8" s="14">
        <f t="shared" si="1"/>
        <v>191</v>
      </c>
      <c r="G8" s="19">
        <f t="shared" si="2"/>
        <v>1307</v>
      </c>
    </row>
    <row r="9">
      <c r="A9" s="12">
        <v>6.0</v>
      </c>
      <c r="B9" s="12" t="s">
        <v>12</v>
      </c>
      <c r="C9" s="13" t="s">
        <v>15</v>
      </c>
      <c r="D9" s="14">
        <v>200.0</v>
      </c>
      <c r="E9" s="16"/>
      <c r="F9" s="14">
        <f t="shared" si="1"/>
        <v>200</v>
      </c>
      <c r="G9" s="19">
        <f t="shared" si="2"/>
        <v>1507</v>
      </c>
    </row>
    <row r="10">
      <c r="A10" s="12">
        <v>7.0</v>
      </c>
      <c r="B10" s="12" t="s">
        <v>12</v>
      </c>
      <c r="C10" s="13" t="s">
        <v>15</v>
      </c>
      <c r="D10" s="14">
        <v>210.0</v>
      </c>
      <c r="E10" s="16"/>
      <c r="F10" s="14">
        <f t="shared" si="1"/>
        <v>210</v>
      </c>
      <c r="G10" s="19">
        <f t="shared" si="2"/>
        <v>1717</v>
      </c>
    </row>
    <row r="11">
      <c r="A11" s="12">
        <v>8.0</v>
      </c>
      <c r="B11" s="12" t="s">
        <v>281</v>
      </c>
      <c r="C11" s="13" t="s">
        <v>282</v>
      </c>
      <c r="D11" s="14">
        <v>221.0</v>
      </c>
      <c r="E11" s="14">
        <v>221.0</v>
      </c>
      <c r="F11" s="14">
        <f t="shared" si="1"/>
        <v>442</v>
      </c>
      <c r="G11" s="19">
        <f t="shared" si="2"/>
        <v>2159</v>
      </c>
    </row>
    <row r="12">
      <c r="A12" s="12">
        <v>9.0</v>
      </c>
      <c r="B12" s="12" t="s">
        <v>25</v>
      </c>
      <c r="C12" s="13" t="s">
        <v>30</v>
      </c>
      <c r="D12" s="14">
        <v>183.0</v>
      </c>
      <c r="E12" s="16"/>
      <c r="F12" s="14">
        <f t="shared" si="1"/>
        <v>183</v>
      </c>
      <c r="G12" s="19">
        <f t="shared" si="2"/>
        <v>2342</v>
      </c>
    </row>
    <row r="13">
      <c r="A13" s="12">
        <v>10.0</v>
      </c>
      <c r="B13" s="12" t="s">
        <v>25</v>
      </c>
      <c r="C13" s="13" t="s">
        <v>30</v>
      </c>
      <c r="D13" s="14">
        <v>191.0</v>
      </c>
      <c r="E13" s="16"/>
      <c r="F13" s="14">
        <f t="shared" si="1"/>
        <v>191</v>
      </c>
      <c r="G13" s="19">
        <f t="shared" si="2"/>
        <v>2533</v>
      </c>
    </row>
    <row r="14">
      <c r="A14" s="12">
        <v>11.0</v>
      </c>
      <c r="B14" s="12" t="s">
        <v>25</v>
      </c>
      <c r="C14" s="13" t="s">
        <v>30</v>
      </c>
      <c r="D14" s="14">
        <v>200.0</v>
      </c>
      <c r="E14" s="16"/>
      <c r="F14" s="14">
        <f t="shared" si="1"/>
        <v>200</v>
      </c>
      <c r="G14" s="19">
        <f t="shared" si="2"/>
        <v>2733</v>
      </c>
    </row>
    <row r="15">
      <c r="A15" s="12">
        <v>12.0</v>
      </c>
      <c r="B15" s="12" t="s">
        <v>25</v>
      </c>
      <c r="C15" s="13" t="s">
        <v>30</v>
      </c>
      <c r="D15" s="14">
        <v>210.0</v>
      </c>
      <c r="E15" s="16"/>
      <c r="F15" s="14">
        <f t="shared" si="1"/>
        <v>210</v>
      </c>
      <c r="G15" s="19">
        <f t="shared" si="2"/>
        <v>2943</v>
      </c>
    </row>
    <row r="16">
      <c r="A16" s="12">
        <v>13.0</v>
      </c>
      <c r="B16" s="12" t="s">
        <v>28</v>
      </c>
      <c r="C16" s="13" t="s">
        <v>31</v>
      </c>
      <c r="D16" s="14">
        <v>221.0</v>
      </c>
      <c r="E16" s="14">
        <v>221.0</v>
      </c>
      <c r="F16" s="14">
        <f t="shared" si="1"/>
        <v>442</v>
      </c>
      <c r="G16" s="19">
        <f t="shared" si="2"/>
        <v>3385</v>
      </c>
    </row>
    <row r="17">
      <c r="A17" s="12">
        <v>14.0</v>
      </c>
      <c r="B17" s="12" t="s">
        <v>294</v>
      </c>
      <c r="C17" s="23" t="s">
        <v>358</v>
      </c>
      <c r="D17" s="14">
        <v>1046.0</v>
      </c>
      <c r="E17" s="16"/>
      <c r="F17" s="14">
        <f t="shared" si="1"/>
        <v>1046</v>
      </c>
      <c r="G17" s="19">
        <f t="shared" si="2"/>
        <v>4431</v>
      </c>
    </row>
    <row r="18">
      <c r="A18" s="24"/>
      <c r="B18" s="24"/>
      <c r="C18" s="26"/>
      <c r="D18" s="27">
        <v>17.0</v>
      </c>
      <c r="E18" s="28"/>
      <c r="F18" s="27">
        <f>SUM(F4:F17)</f>
        <v>4431</v>
      </c>
      <c r="G18" s="29">
        <f>G17</f>
        <v>4431</v>
      </c>
    </row>
    <row r="19">
      <c r="C19" s="30"/>
      <c r="G19" s="30"/>
    </row>
    <row r="20">
      <c r="A20" s="4" t="s">
        <v>361</v>
      </c>
      <c r="B20" s="5"/>
      <c r="C20" s="5"/>
      <c r="D20" s="5"/>
      <c r="E20" s="5"/>
      <c r="F20" s="5"/>
      <c r="G20" s="6"/>
    </row>
    <row r="21">
      <c r="A21" s="7"/>
      <c r="B21" s="8"/>
      <c r="C21" s="8"/>
      <c r="D21" s="8"/>
      <c r="E21" s="8"/>
      <c r="F21" s="8"/>
      <c r="G21" s="9"/>
    </row>
    <row r="22">
      <c r="A22" s="10"/>
      <c r="B22" s="10" t="s">
        <v>6</v>
      </c>
      <c r="C22" s="11" t="s">
        <v>7</v>
      </c>
      <c r="D22" s="10" t="s">
        <v>8</v>
      </c>
      <c r="E22" s="10" t="s">
        <v>9</v>
      </c>
      <c r="F22" s="10" t="s">
        <v>10</v>
      </c>
      <c r="G22" s="11" t="s">
        <v>11</v>
      </c>
    </row>
    <row r="23">
      <c r="A23" s="12">
        <v>1.0</v>
      </c>
      <c r="B23" s="12" t="s">
        <v>43</v>
      </c>
      <c r="C23" s="13" t="s">
        <v>50</v>
      </c>
      <c r="D23" s="14">
        <v>394.0</v>
      </c>
      <c r="E23" s="16"/>
      <c r="F23" s="14">
        <f t="shared" ref="F23:F46" si="3">SUM(D23:E23)</f>
        <v>394</v>
      </c>
      <c r="G23" s="19">
        <f>F23</f>
        <v>394</v>
      </c>
    </row>
    <row r="24">
      <c r="A24" s="12">
        <v>2.0</v>
      </c>
      <c r="B24" s="12" t="s">
        <v>43</v>
      </c>
      <c r="C24" s="13" t="s">
        <v>50</v>
      </c>
      <c r="D24" s="14">
        <v>413.0</v>
      </c>
      <c r="E24" s="16"/>
      <c r="F24" s="14">
        <f t="shared" si="3"/>
        <v>413</v>
      </c>
      <c r="G24" s="19">
        <f t="shared" ref="G24:G46" si="4">G23+F24</f>
        <v>807</v>
      </c>
    </row>
    <row r="25">
      <c r="A25" s="12">
        <v>3.0</v>
      </c>
      <c r="B25" s="12" t="s">
        <v>43</v>
      </c>
      <c r="C25" s="13" t="s">
        <v>50</v>
      </c>
      <c r="D25" s="14">
        <v>434.0</v>
      </c>
      <c r="E25" s="16"/>
      <c r="F25" s="14">
        <f t="shared" si="3"/>
        <v>434</v>
      </c>
      <c r="G25" s="19">
        <f t="shared" si="4"/>
        <v>1241</v>
      </c>
    </row>
    <row r="26">
      <c r="A26" s="12">
        <v>4.0</v>
      </c>
      <c r="B26" s="12" t="s">
        <v>40</v>
      </c>
      <c r="C26" s="13" t="s">
        <v>49</v>
      </c>
      <c r="D26" s="14">
        <v>394.0</v>
      </c>
      <c r="E26" s="16"/>
      <c r="F26" s="14">
        <f t="shared" si="3"/>
        <v>394</v>
      </c>
      <c r="G26" s="19">
        <f t="shared" si="4"/>
        <v>1635</v>
      </c>
    </row>
    <row r="27">
      <c r="A27" s="12">
        <v>5.0</v>
      </c>
      <c r="B27" s="12" t="s">
        <v>40</v>
      </c>
      <c r="C27" s="13" t="s">
        <v>49</v>
      </c>
      <c r="D27" s="14">
        <v>413.0</v>
      </c>
      <c r="E27" s="16"/>
      <c r="F27" s="14">
        <f t="shared" si="3"/>
        <v>413</v>
      </c>
      <c r="G27" s="19">
        <f t="shared" si="4"/>
        <v>2048</v>
      </c>
    </row>
    <row r="28">
      <c r="A28" s="12">
        <v>6.0</v>
      </c>
      <c r="B28" s="12" t="s">
        <v>40</v>
      </c>
      <c r="C28" s="13" t="s">
        <v>49</v>
      </c>
      <c r="D28" s="14">
        <v>434.0</v>
      </c>
      <c r="E28" s="16"/>
      <c r="F28" s="14">
        <f t="shared" si="3"/>
        <v>434</v>
      </c>
      <c r="G28" s="19">
        <f t="shared" si="4"/>
        <v>2482</v>
      </c>
    </row>
    <row r="29">
      <c r="A29" s="12">
        <v>7.0</v>
      </c>
      <c r="B29" s="12" t="s">
        <v>43</v>
      </c>
      <c r="C29" s="13" t="s">
        <v>50</v>
      </c>
      <c r="D29" s="14">
        <v>456.0</v>
      </c>
      <c r="E29" s="16"/>
      <c r="F29" s="14">
        <f t="shared" si="3"/>
        <v>456</v>
      </c>
      <c r="G29" s="19">
        <f t="shared" si="4"/>
        <v>2938</v>
      </c>
    </row>
    <row r="30">
      <c r="A30" s="12">
        <v>8.0</v>
      </c>
      <c r="B30" s="12" t="s">
        <v>45</v>
      </c>
      <c r="C30" s="13" t="s">
        <v>370</v>
      </c>
      <c r="D30" s="14">
        <v>813.0</v>
      </c>
      <c r="E30" s="14">
        <v>854.0</v>
      </c>
      <c r="F30" s="14">
        <f t="shared" si="3"/>
        <v>1667</v>
      </c>
      <c r="G30" s="19">
        <f t="shared" si="4"/>
        <v>4605</v>
      </c>
    </row>
    <row r="31">
      <c r="A31" s="12">
        <v>9.0</v>
      </c>
      <c r="B31" s="12" t="s">
        <v>43</v>
      </c>
      <c r="C31" s="13" t="s">
        <v>50</v>
      </c>
      <c r="D31" s="14">
        <v>503.0</v>
      </c>
      <c r="E31" s="16"/>
      <c r="F31" s="14">
        <f t="shared" si="3"/>
        <v>503</v>
      </c>
      <c r="G31" s="19">
        <f t="shared" si="4"/>
        <v>5108</v>
      </c>
    </row>
    <row r="32">
      <c r="A32" s="12">
        <v>10.0</v>
      </c>
      <c r="B32" s="12" t="s">
        <v>51</v>
      </c>
      <c r="C32" s="13" t="s">
        <v>63</v>
      </c>
      <c r="D32" s="14">
        <v>528.0</v>
      </c>
      <c r="E32" s="16"/>
      <c r="F32" s="14">
        <f t="shared" si="3"/>
        <v>528</v>
      </c>
      <c r="G32" s="19">
        <f t="shared" si="4"/>
        <v>5636</v>
      </c>
    </row>
    <row r="33">
      <c r="A33" s="12">
        <v>11.0</v>
      </c>
      <c r="B33" s="12" t="s">
        <v>43</v>
      </c>
      <c r="C33" s="13" t="s">
        <v>50</v>
      </c>
      <c r="D33" s="14">
        <v>554.0</v>
      </c>
      <c r="E33" s="16"/>
      <c r="F33" s="14">
        <f t="shared" si="3"/>
        <v>554</v>
      </c>
      <c r="G33" s="19">
        <f t="shared" si="4"/>
        <v>6190</v>
      </c>
    </row>
    <row r="34">
      <c r="A34" s="12">
        <v>12.0</v>
      </c>
      <c r="B34" s="12" t="s">
        <v>75</v>
      </c>
      <c r="C34" s="13" t="s">
        <v>95</v>
      </c>
      <c r="D34" s="14">
        <v>582.0</v>
      </c>
      <c r="E34" s="16"/>
      <c r="F34" s="14">
        <f t="shared" si="3"/>
        <v>582</v>
      </c>
      <c r="G34" s="19">
        <f t="shared" si="4"/>
        <v>6772</v>
      </c>
    </row>
    <row r="35">
      <c r="A35" s="12">
        <v>13.0</v>
      </c>
      <c r="B35" s="12" t="s">
        <v>43</v>
      </c>
      <c r="C35" s="13" t="s">
        <v>50</v>
      </c>
      <c r="D35" s="14">
        <v>610.0</v>
      </c>
      <c r="E35" s="16"/>
      <c r="F35" s="14">
        <f t="shared" si="3"/>
        <v>610</v>
      </c>
      <c r="G35" s="19">
        <f t="shared" si="4"/>
        <v>7382</v>
      </c>
    </row>
    <row r="36">
      <c r="A36" s="12">
        <v>14.0</v>
      </c>
      <c r="B36" s="12" t="s">
        <v>51</v>
      </c>
      <c r="C36" s="13" t="s">
        <v>63</v>
      </c>
      <c r="D36" s="14">
        <v>641.0</v>
      </c>
      <c r="E36" s="16"/>
      <c r="F36" s="14">
        <f t="shared" si="3"/>
        <v>641</v>
      </c>
      <c r="G36" s="19">
        <f t="shared" si="4"/>
        <v>8023</v>
      </c>
    </row>
    <row r="37">
      <c r="A37" s="12">
        <v>15.0</v>
      </c>
      <c r="B37" s="12" t="s">
        <v>43</v>
      </c>
      <c r="C37" s="13" t="s">
        <v>50</v>
      </c>
      <c r="D37" s="14">
        <v>673.0</v>
      </c>
      <c r="E37" s="16"/>
      <c r="F37" s="14">
        <f t="shared" si="3"/>
        <v>673</v>
      </c>
      <c r="G37" s="19">
        <f t="shared" si="4"/>
        <v>8696</v>
      </c>
    </row>
    <row r="38">
      <c r="A38" s="12">
        <v>16.0</v>
      </c>
      <c r="B38" s="12" t="s">
        <v>40</v>
      </c>
      <c r="C38" s="13" t="s">
        <v>49</v>
      </c>
      <c r="D38" s="14">
        <v>503.0</v>
      </c>
      <c r="E38" s="16"/>
      <c r="F38" s="14">
        <f t="shared" si="3"/>
        <v>503</v>
      </c>
      <c r="G38" s="19">
        <f t="shared" si="4"/>
        <v>9199</v>
      </c>
    </row>
    <row r="39">
      <c r="A39" s="12">
        <v>17.0</v>
      </c>
      <c r="B39" s="12" t="s">
        <v>47</v>
      </c>
      <c r="C39" s="13" t="s">
        <v>57</v>
      </c>
      <c r="D39" s="14">
        <v>528.0</v>
      </c>
      <c r="E39" s="16"/>
      <c r="F39" s="14">
        <f t="shared" si="3"/>
        <v>528</v>
      </c>
      <c r="G39" s="19">
        <f t="shared" si="4"/>
        <v>9727</v>
      </c>
    </row>
    <row r="40">
      <c r="A40" s="12">
        <v>18.0</v>
      </c>
      <c r="B40" s="12" t="s">
        <v>40</v>
      </c>
      <c r="C40" s="13" t="s">
        <v>49</v>
      </c>
      <c r="D40" s="14">
        <v>554.0</v>
      </c>
      <c r="E40" s="16"/>
      <c r="F40" s="14">
        <f t="shared" si="3"/>
        <v>554</v>
      </c>
      <c r="G40" s="19">
        <f t="shared" si="4"/>
        <v>10281</v>
      </c>
    </row>
    <row r="41">
      <c r="A41" s="12">
        <v>19.0</v>
      </c>
      <c r="B41" s="12" t="s">
        <v>64</v>
      </c>
      <c r="C41" s="13" t="s">
        <v>82</v>
      </c>
      <c r="D41" s="14">
        <v>582.0</v>
      </c>
      <c r="E41" s="16"/>
      <c r="F41" s="14">
        <f t="shared" si="3"/>
        <v>582</v>
      </c>
      <c r="G41" s="19">
        <f t="shared" si="4"/>
        <v>10863</v>
      </c>
    </row>
    <row r="42">
      <c r="A42" s="12">
        <v>20.0</v>
      </c>
      <c r="B42" s="12" t="s">
        <v>40</v>
      </c>
      <c r="C42" s="13" t="s">
        <v>49</v>
      </c>
      <c r="D42" s="14">
        <v>610.0</v>
      </c>
      <c r="E42" s="16"/>
      <c r="F42" s="14">
        <f t="shared" si="3"/>
        <v>610</v>
      </c>
      <c r="G42" s="19">
        <f t="shared" si="4"/>
        <v>11473</v>
      </c>
    </row>
    <row r="43">
      <c r="A43" s="12">
        <v>21.0</v>
      </c>
      <c r="B43" s="12" t="s">
        <v>47</v>
      </c>
      <c r="C43" s="13" t="s">
        <v>57</v>
      </c>
      <c r="D43" s="14">
        <v>641.0</v>
      </c>
      <c r="E43" s="16"/>
      <c r="F43" s="14">
        <f t="shared" si="3"/>
        <v>641</v>
      </c>
      <c r="G43" s="19">
        <f t="shared" si="4"/>
        <v>12114</v>
      </c>
    </row>
    <row r="44">
      <c r="A44" s="12">
        <v>22.0</v>
      </c>
      <c r="B44" s="12" t="s">
        <v>40</v>
      </c>
      <c r="C44" s="13" t="s">
        <v>49</v>
      </c>
      <c r="D44" s="14">
        <v>673.0</v>
      </c>
      <c r="E44" s="16"/>
      <c r="F44" s="14">
        <f t="shared" si="3"/>
        <v>673</v>
      </c>
      <c r="G44" s="19">
        <f t="shared" si="4"/>
        <v>12787</v>
      </c>
    </row>
    <row r="45">
      <c r="A45" s="12">
        <v>23.0</v>
      </c>
      <c r="B45" s="12" t="s">
        <v>55</v>
      </c>
      <c r="C45" s="13" t="s">
        <v>65</v>
      </c>
      <c r="D45" s="14">
        <v>3181.0</v>
      </c>
      <c r="E45" s="16"/>
      <c r="F45" s="14">
        <f t="shared" si="3"/>
        <v>3181</v>
      </c>
      <c r="G45" s="19">
        <f t="shared" si="4"/>
        <v>15968</v>
      </c>
    </row>
    <row r="46">
      <c r="A46" s="12">
        <v>24.0</v>
      </c>
      <c r="B46" s="12" t="s">
        <v>40</v>
      </c>
      <c r="C46" s="13" t="s">
        <v>49</v>
      </c>
      <c r="D46" s="14">
        <v>478.0</v>
      </c>
      <c r="E46" s="16"/>
      <c r="F46" s="14">
        <f t="shared" si="3"/>
        <v>478</v>
      </c>
      <c r="G46" s="19">
        <f t="shared" si="4"/>
        <v>16446</v>
      </c>
    </row>
    <row r="47">
      <c r="A47" s="24"/>
      <c r="B47" s="24"/>
      <c r="C47" s="26"/>
      <c r="D47" s="27">
        <v>25.0</v>
      </c>
      <c r="E47" s="28"/>
      <c r="F47" s="27">
        <f>SUM(F23:F46)</f>
        <v>16446</v>
      </c>
      <c r="G47" s="29">
        <f>G46</f>
        <v>16446</v>
      </c>
    </row>
    <row r="48">
      <c r="C48" s="30"/>
      <c r="G48" s="30"/>
    </row>
    <row r="49">
      <c r="A49" s="4" t="s">
        <v>380</v>
      </c>
      <c r="B49" s="5"/>
      <c r="C49" s="5"/>
      <c r="D49" s="5"/>
      <c r="E49" s="5"/>
      <c r="F49" s="5"/>
      <c r="G49" s="6"/>
    </row>
    <row r="50">
      <c r="A50" s="7"/>
      <c r="B50" s="8"/>
      <c r="C50" s="8"/>
      <c r="D50" s="8"/>
      <c r="E50" s="8"/>
      <c r="F50" s="8"/>
      <c r="G50" s="9"/>
    </row>
    <row r="51">
      <c r="A51" s="10"/>
      <c r="B51" s="10" t="s">
        <v>6</v>
      </c>
      <c r="C51" s="11" t="s">
        <v>7</v>
      </c>
      <c r="D51" s="10" t="s">
        <v>8</v>
      </c>
      <c r="E51" s="10" t="s">
        <v>9</v>
      </c>
      <c r="F51" s="10" t="s">
        <v>10</v>
      </c>
      <c r="G51" s="11" t="s">
        <v>11</v>
      </c>
    </row>
    <row r="52">
      <c r="A52" s="12">
        <v>1.0</v>
      </c>
      <c r="B52" s="12" t="s">
        <v>60</v>
      </c>
      <c r="C52" s="13" t="s">
        <v>74</v>
      </c>
      <c r="D52" s="14">
        <v>523.0</v>
      </c>
      <c r="E52" s="16"/>
      <c r="F52" s="14">
        <f t="shared" ref="F52:F80" si="5">SUM(D52:E52)</f>
        <v>523</v>
      </c>
      <c r="G52" s="19">
        <f>F52</f>
        <v>523</v>
      </c>
    </row>
    <row r="53">
      <c r="A53" s="12">
        <v>2.0</v>
      </c>
      <c r="B53" s="12" t="s">
        <v>60</v>
      </c>
      <c r="C53" s="13" t="s">
        <v>74</v>
      </c>
      <c r="D53" s="14">
        <v>550.0</v>
      </c>
      <c r="E53" s="16"/>
      <c r="F53" s="14">
        <f t="shared" si="5"/>
        <v>550</v>
      </c>
      <c r="G53" s="19">
        <f t="shared" ref="G53:G80" si="6">G52+F53</f>
        <v>1073</v>
      </c>
    </row>
    <row r="54">
      <c r="A54" s="12">
        <v>3.0</v>
      </c>
      <c r="B54" s="12" t="s">
        <v>60</v>
      </c>
      <c r="C54" s="13" t="s">
        <v>74</v>
      </c>
      <c r="D54" s="14">
        <v>578.0</v>
      </c>
      <c r="E54" s="16"/>
      <c r="F54" s="14">
        <f t="shared" si="5"/>
        <v>578</v>
      </c>
      <c r="G54" s="19">
        <f t="shared" si="6"/>
        <v>1651</v>
      </c>
    </row>
    <row r="55">
      <c r="A55" s="12">
        <v>4.0</v>
      </c>
      <c r="B55" s="12" t="s">
        <v>60</v>
      </c>
      <c r="C55" s="13" t="s">
        <v>74</v>
      </c>
      <c r="D55" s="14">
        <v>607.0</v>
      </c>
      <c r="E55" s="16"/>
      <c r="F55" s="14">
        <f t="shared" si="5"/>
        <v>607</v>
      </c>
      <c r="G55" s="19">
        <f t="shared" si="6"/>
        <v>2258</v>
      </c>
    </row>
    <row r="56">
      <c r="A56" s="12">
        <v>5.0</v>
      </c>
      <c r="B56" s="12" t="s">
        <v>60</v>
      </c>
      <c r="C56" s="13" t="s">
        <v>74</v>
      </c>
      <c r="D56" s="14">
        <v>607.0</v>
      </c>
      <c r="E56" s="16"/>
      <c r="F56" s="14">
        <f t="shared" si="5"/>
        <v>607</v>
      </c>
      <c r="G56" s="19">
        <f t="shared" si="6"/>
        <v>2865</v>
      </c>
    </row>
    <row r="57">
      <c r="A57" s="12">
        <v>6.0</v>
      </c>
      <c r="B57" s="12" t="s">
        <v>60</v>
      </c>
      <c r="C57" s="13" t="s">
        <v>74</v>
      </c>
      <c r="D57" s="14">
        <v>636.0</v>
      </c>
      <c r="E57" s="16"/>
      <c r="F57" s="14">
        <f t="shared" si="5"/>
        <v>636</v>
      </c>
      <c r="G57" s="19">
        <f t="shared" si="6"/>
        <v>3501</v>
      </c>
    </row>
    <row r="58">
      <c r="A58" s="12">
        <v>7.0</v>
      </c>
      <c r="B58" s="12" t="s">
        <v>75</v>
      </c>
      <c r="C58" s="13" t="s">
        <v>95</v>
      </c>
      <c r="D58" s="14">
        <v>669.0</v>
      </c>
      <c r="E58" s="16"/>
      <c r="F58" s="14">
        <f t="shared" si="5"/>
        <v>669</v>
      </c>
      <c r="G58" s="19">
        <f t="shared" si="6"/>
        <v>4170</v>
      </c>
    </row>
    <row r="59">
      <c r="A59" s="12">
        <v>8.0</v>
      </c>
      <c r="B59" s="12" t="s">
        <v>67</v>
      </c>
      <c r="C59" s="13" t="s">
        <v>85</v>
      </c>
      <c r="D59" s="14">
        <v>523.0</v>
      </c>
      <c r="E59" s="16"/>
      <c r="F59" s="14">
        <f t="shared" si="5"/>
        <v>523</v>
      </c>
      <c r="G59" s="19">
        <f t="shared" si="6"/>
        <v>4693</v>
      </c>
    </row>
    <row r="60">
      <c r="A60" s="12">
        <v>9.0</v>
      </c>
      <c r="B60" s="12" t="s">
        <v>67</v>
      </c>
      <c r="C60" s="13" t="s">
        <v>85</v>
      </c>
      <c r="D60" s="14">
        <v>550.0</v>
      </c>
      <c r="E60" s="16"/>
      <c r="F60" s="14">
        <f t="shared" si="5"/>
        <v>550</v>
      </c>
      <c r="G60" s="19">
        <f t="shared" si="6"/>
        <v>5243</v>
      </c>
    </row>
    <row r="61">
      <c r="A61" s="12">
        <v>10.0</v>
      </c>
      <c r="B61" s="12" t="s">
        <v>67</v>
      </c>
      <c r="C61" s="13" t="s">
        <v>85</v>
      </c>
      <c r="D61" s="14">
        <v>578.0</v>
      </c>
      <c r="E61" s="16"/>
      <c r="F61" s="14">
        <f t="shared" si="5"/>
        <v>578</v>
      </c>
      <c r="G61" s="19">
        <f t="shared" si="6"/>
        <v>5821</v>
      </c>
    </row>
    <row r="62">
      <c r="A62" s="12">
        <v>11.0</v>
      </c>
      <c r="B62" s="12" t="s">
        <v>67</v>
      </c>
      <c r="C62" s="13" t="s">
        <v>85</v>
      </c>
      <c r="D62" s="14">
        <v>607.0</v>
      </c>
      <c r="E62" s="16"/>
      <c r="F62" s="14">
        <f t="shared" si="5"/>
        <v>607</v>
      </c>
      <c r="G62" s="19">
        <f t="shared" si="6"/>
        <v>6428</v>
      </c>
    </row>
    <row r="63">
      <c r="A63" s="12">
        <v>12.0</v>
      </c>
      <c r="B63" s="12" t="s">
        <v>67</v>
      </c>
      <c r="C63" s="13" t="s">
        <v>85</v>
      </c>
      <c r="D63" s="14">
        <v>607.0</v>
      </c>
      <c r="E63" s="16"/>
      <c r="F63" s="14">
        <f t="shared" si="5"/>
        <v>607</v>
      </c>
      <c r="G63" s="19">
        <f t="shared" si="6"/>
        <v>7035</v>
      </c>
    </row>
    <row r="64">
      <c r="A64" s="12">
        <v>13.0</v>
      </c>
      <c r="B64" s="12" t="s">
        <v>67</v>
      </c>
      <c r="C64" s="13" t="s">
        <v>85</v>
      </c>
      <c r="D64" s="14">
        <v>636.0</v>
      </c>
      <c r="E64" s="16"/>
      <c r="F64" s="14">
        <f t="shared" si="5"/>
        <v>636</v>
      </c>
      <c r="G64" s="19">
        <f t="shared" si="6"/>
        <v>7671</v>
      </c>
    </row>
    <row r="65">
      <c r="A65" s="12">
        <v>14.0</v>
      </c>
      <c r="B65" s="12" t="s">
        <v>306</v>
      </c>
      <c r="C65" s="13" t="s">
        <v>392</v>
      </c>
      <c r="D65" s="14">
        <v>1083.0</v>
      </c>
      <c r="E65" s="14">
        <v>1137.0</v>
      </c>
      <c r="F65" s="14">
        <f t="shared" si="5"/>
        <v>2220</v>
      </c>
      <c r="G65" s="19">
        <f t="shared" si="6"/>
        <v>9891</v>
      </c>
    </row>
    <row r="66">
      <c r="A66" s="12">
        <v>15.0</v>
      </c>
      <c r="B66" s="12" t="s">
        <v>79</v>
      </c>
      <c r="C66" s="13" t="s">
        <v>300</v>
      </c>
      <c r="D66" s="14">
        <v>523.0</v>
      </c>
      <c r="E66" s="16"/>
      <c r="F66" s="14">
        <f t="shared" si="5"/>
        <v>523</v>
      </c>
      <c r="G66" s="19">
        <f t="shared" si="6"/>
        <v>10414</v>
      </c>
    </row>
    <row r="67">
      <c r="A67" s="12">
        <v>16.0</v>
      </c>
      <c r="B67" s="12" t="s">
        <v>79</v>
      </c>
      <c r="C67" s="13" t="s">
        <v>300</v>
      </c>
      <c r="D67" s="14">
        <v>550.0</v>
      </c>
      <c r="E67" s="16"/>
      <c r="F67" s="14">
        <f t="shared" si="5"/>
        <v>550</v>
      </c>
      <c r="G67" s="19">
        <f t="shared" si="6"/>
        <v>10964</v>
      </c>
    </row>
    <row r="68">
      <c r="A68" s="12">
        <v>17.0</v>
      </c>
      <c r="B68" s="12" t="s">
        <v>79</v>
      </c>
      <c r="C68" s="13" t="s">
        <v>300</v>
      </c>
      <c r="D68" s="14">
        <v>578.0</v>
      </c>
      <c r="E68" s="16"/>
      <c r="F68" s="14">
        <f t="shared" si="5"/>
        <v>578</v>
      </c>
      <c r="G68" s="19">
        <f t="shared" si="6"/>
        <v>11542</v>
      </c>
    </row>
    <row r="69">
      <c r="A69" s="12">
        <v>18.0</v>
      </c>
      <c r="B69" s="12" t="s">
        <v>79</v>
      </c>
      <c r="C69" s="13" t="s">
        <v>300</v>
      </c>
      <c r="D69" s="14">
        <v>607.0</v>
      </c>
      <c r="E69" s="16"/>
      <c r="F69" s="14">
        <f t="shared" si="5"/>
        <v>607</v>
      </c>
      <c r="G69" s="19">
        <f t="shared" si="6"/>
        <v>12149</v>
      </c>
    </row>
    <row r="70">
      <c r="A70" s="12">
        <v>19.0</v>
      </c>
      <c r="B70" s="12" t="s">
        <v>83</v>
      </c>
      <c r="C70" s="13" t="s">
        <v>393</v>
      </c>
      <c r="D70" s="14">
        <v>1083.0</v>
      </c>
      <c r="E70" s="14">
        <v>1137.0</v>
      </c>
      <c r="F70" s="14">
        <f t="shared" si="5"/>
        <v>2220</v>
      </c>
      <c r="G70" s="19">
        <f t="shared" si="6"/>
        <v>14369</v>
      </c>
    </row>
    <row r="71">
      <c r="A71" s="12">
        <v>20.0</v>
      </c>
      <c r="B71" s="12" t="s">
        <v>96</v>
      </c>
      <c r="C71" s="23" t="s">
        <v>395</v>
      </c>
      <c r="D71" s="14">
        <v>3009.0</v>
      </c>
      <c r="E71" s="16"/>
      <c r="F71" s="14">
        <f t="shared" si="5"/>
        <v>3009</v>
      </c>
      <c r="G71" s="19">
        <f t="shared" si="6"/>
        <v>17378</v>
      </c>
    </row>
    <row r="72">
      <c r="A72" s="12">
        <v>21.0</v>
      </c>
      <c r="B72" s="12" t="s">
        <v>79</v>
      </c>
      <c r="C72" s="13" t="s">
        <v>300</v>
      </c>
      <c r="D72" s="14">
        <v>607.0</v>
      </c>
      <c r="E72" s="16"/>
      <c r="F72" s="14">
        <f t="shared" si="5"/>
        <v>607</v>
      </c>
      <c r="G72" s="19">
        <f t="shared" si="6"/>
        <v>17985</v>
      </c>
    </row>
    <row r="73">
      <c r="A73" s="12">
        <v>22.0</v>
      </c>
      <c r="B73" s="12" t="s">
        <v>79</v>
      </c>
      <c r="C73" s="13" t="s">
        <v>300</v>
      </c>
      <c r="D73" s="14">
        <v>636.0</v>
      </c>
      <c r="E73" s="16"/>
      <c r="F73" s="14">
        <f t="shared" si="5"/>
        <v>636</v>
      </c>
      <c r="G73" s="19">
        <f t="shared" si="6"/>
        <v>18621</v>
      </c>
    </row>
    <row r="74">
      <c r="A74" s="12">
        <v>23.0</v>
      </c>
      <c r="B74" s="12" t="s">
        <v>72</v>
      </c>
      <c r="C74" s="13" t="s">
        <v>91</v>
      </c>
      <c r="D74" s="14">
        <v>523.0</v>
      </c>
      <c r="E74" s="16"/>
      <c r="F74" s="14">
        <f t="shared" si="5"/>
        <v>523</v>
      </c>
      <c r="G74" s="19">
        <f t="shared" si="6"/>
        <v>19144</v>
      </c>
    </row>
    <row r="75">
      <c r="A75" s="12">
        <v>24.0</v>
      </c>
      <c r="B75" s="12" t="s">
        <v>72</v>
      </c>
      <c r="C75" s="13" t="s">
        <v>91</v>
      </c>
      <c r="D75" s="14">
        <v>550.0</v>
      </c>
      <c r="E75" s="16"/>
      <c r="F75" s="14">
        <f t="shared" si="5"/>
        <v>550</v>
      </c>
      <c r="G75" s="19">
        <f t="shared" si="6"/>
        <v>19694</v>
      </c>
    </row>
    <row r="76">
      <c r="A76" s="12">
        <v>25.0</v>
      </c>
      <c r="B76" s="12" t="s">
        <v>72</v>
      </c>
      <c r="C76" s="13" t="s">
        <v>91</v>
      </c>
      <c r="D76" s="14">
        <v>578.0</v>
      </c>
      <c r="E76" s="16"/>
      <c r="F76" s="14">
        <f t="shared" si="5"/>
        <v>578</v>
      </c>
      <c r="G76" s="19">
        <f t="shared" si="6"/>
        <v>20272</v>
      </c>
    </row>
    <row r="77">
      <c r="A77" s="12">
        <v>26.0</v>
      </c>
      <c r="B77" s="12" t="s">
        <v>72</v>
      </c>
      <c r="C77" s="13" t="s">
        <v>91</v>
      </c>
      <c r="D77" s="14">
        <v>607.0</v>
      </c>
      <c r="E77" s="16"/>
      <c r="F77" s="14">
        <f t="shared" si="5"/>
        <v>607</v>
      </c>
      <c r="G77" s="19">
        <f t="shared" si="6"/>
        <v>20879</v>
      </c>
    </row>
    <row r="78">
      <c r="A78" s="12">
        <v>27.0</v>
      </c>
      <c r="B78" s="12" t="s">
        <v>72</v>
      </c>
      <c r="C78" s="13" t="s">
        <v>91</v>
      </c>
      <c r="D78" s="14">
        <v>607.0</v>
      </c>
      <c r="E78" s="16"/>
      <c r="F78" s="14">
        <f t="shared" si="5"/>
        <v>607</v>
      </c>
      <c r="G78" s="19">
        <f t="shared" si="6"/>
        <v>21486</v>
      </c>
    </row>
    <row r="79">
      <c r="A79" s="12">
        <v>28.0</v>
      </c>
      <c r="B79" s="12" t="s">
        <v>72</v>
      </c>
      <c r="C79" s="13" t="s">
        <v>91</v>
      </c>
      <c r="D79" s="14">
        <v>636.0</v>
      </c>
      <c r="E79" s="16"/>
      <c r="F79" s="14">
        <f t="shared" si="5"/>
        <v>636</v>
      </c>
      <c r="G79" s="19">
        <f t="shared" si="6"/>
        <v>22122</v>
      </c>
    </row>
    <row r="80">
      <c r="A80" s="12">
        <v>29.0</v>
      </c>
      <c r="B80" s="12" t="s">
        <v>64</v>
      </c>
      <c r="C80" s="13" t="s">
        <v>82</v>
      </c>
      <c r="D80" s="14">
        <v>669.0</v>
      </c>
      <c r="E80" s="16"/>
      <c r="F80" s="14">
        <f t="shared" si="5"/>
        <v>669</v>
      </c>
      <c r="G80" s="19">
        <f t="shared" si="6"/>
        <v>22791</v>
      </c>
    </row>
    <row r="81">
      <c r="A81" s="24"/>
      <c r="B81" s="24"/>
      <c r="C81" s="26"/>
      <c r="D81" s="27">
        <v>31.0</v>
      </c>
      <c r="E81" s="28"/>
      <c r="F81" s="27">
        <f>SUM(F52:F80)</f>
        <v>22791</v>
      </c>
      <c r="G81" s="29">
        <f>G80</f>
        <v>22791</v>
      </c>
    </row>
    <row r="82">
      <c r="C82" s="30"/>
      <c r="G82" s="30"/>
    </row>
    <row r="83">
      <c r="A83" s="4" t="s">
        <v>396</v>
      </c>
      <c r="B83" s="5"/>
      <c r="C83" s="5"/>
      <c r="D83" s="5"/>
      <c r="E83" s="5"/>
      <c r="F83" s="5"/>
      <c r="G83" s="6"/>
    </row>
    <row r="84">
      <c r="A84" s="7"/>
      <c r="B84" s="8"/>
      <c r="C84" s="8"/>
      <c r="D84" s="8"/>
      <c r="E84" s="8"/>
      <c r="F84" s="8"/>
      <c r="G84" s="9"/>
    </row>
    <row r="85">
      <c r="A85" s="10"/>
      <c r="B85" s="10" t="s">
        <v>6</v>
      </c>
      <c r="C85" s="11" t="s">
        <v>7</v>
      </c>
      <c r="D85" s="10" t="s">
        <v>8</v>
      </c>
      <c r="E85" s="10" t="s">
        <v>9</v>
      </c>
      <c r="F85" s="10" t="s">
        <v>10</v>
      </c>
      <c r="G85" s="11" t="s">
        <v>11</v>
      </c>
    </row>
    <row r="86">
      <c r="A86" s="12">
        <v>1.0</v>
      </c>
      <c r="B86" s="12" t="s">
        <v>99</v>
      </c>
      <c r="C86" s="13" t="s">
        <v>114</v>
      </c>
      <c r="D86" s="14">
        <v>614.0</v>
      </c>
      <c r="E86" s="16"/>
      <c r="F86" s="14">
        <f t="shared" ref="F86:F118" si="7">SUM(D86:E86)</f>
        <v>614</v>
      </c>
      <c r="G86" s="19">
        <f>F86</f>
        <v>614</v>
      </c>
    </row>
    <row r="87">
      <c r="A87" s="12">
        <v>2.0</v>
      </c>
      <c r="B87" s="12" t="s">
        <v>99</v>
      </c>
      <c r="C87" s="13" t="s">
        <v>114</v>
      </c>
      <c r="D87" s="14">
        <v>645.0</v>
      </c>
      <c r="E87" s="16"/>
      <c r="F87" s="14">
        <f t="shared" si="7"/>
        <v>645</v>
      </c>
      <c r="G87" s="19">
        <f t="shared" ref="G87:G118" si="8">G86+F87</f>
        <v>1259</v>
      </c>
    </row>
    <row r="88">
      <c r="A88" s="12">
        <v>3.0</v>
      </c>
      <c r="B88" s="12" t="s">
        <v>99</v>
      </c>
      <c r="C88" s="13" t="s">
        <v>114</v>
      </c>
      <c r="D88" s="14">
        <v>677.0</v>
      </c>
      <c r="E88" s="16"/>
      <c r="F88" s="14">
        <f t="shared" si="7"/>
        <v>677</v>
      </c>
      <c r="G88" s="19">
        <f t="shared" si="8"/>
        <v>1936</v>
      </c>
    </row>
    <row r="89">
      <c r="A89" s="12">
        <v>4.0</v>
      </c>
      <c r="B89" s="12" t="s">
        <v>104</v>
      </c>
      <c r="C89" s="13" t="s">
        <v>119</v>
      </c>
      <c r="D89" s="14">
        <v>677.0</v>
      </c>
      <c r="E89" s="16"/>
      <c r="F89" s="14">
        <f t="shared" si="7"/>
        <v>677</v>
      </c>
      <c r="G89" s="19">
        <f t="shared" si="8"/>
        <v>2613</v>
      </c>
    </row>
    <row r="90">
      <c r="A90" s="12">
        <v>5.0</v>
      </c>
      <c r="B90" s="12" t="s">
        <v>104</v>
      </c>
      <c r="C90" s="13" t="s">
        <v>119</v>
      </c>
      <c r="D90" s="14">
        <v>645.0</v>
      </c>
      <c r="E90" s="16"/>
      <c r="F90" s="14">
        <f t="shared" si="7"/>
        <v>645</v>
      </c>
      <c r="G90" s="19">
        <f t="shared" si="8"/>
        <v>3258</v>
      </c>
    </row>
    <row r="91">
      <c r="A91" s="12">
        <v>6.0</v>
      </c>
      <c r="B91" s="12" t="s">
        <v>104</v>
      </c>
      <c r="C91" s="13" t="s">
        <v>119</v>
      </c>
      <c r="D91" s="14">
        <v>677.0</v>
      </c>
      <c r="E91" s="16"/>
      <c r="F91" s="14">
        <f t="shared" si="7"/>
        <v>677</v>
      </c>
      <c r="G91" s="19">
        <f t="shared" si="8"/>
        <v>3935</v>
      </c>
    </row>
    <row r="92">
      <c r="A92" s="12">
        <v>7.0</v>
      </c>
      <c r="B92" s="12" t="s">
        <v>104</v>
      </c>
      <c r="C92" s="13" t="s">
        <v>119</v>
      </c>
      <c r="D92" s="14">
        <v>677.0</v>
      </c>
      <c r="E92" s="16"/>
      <c r="F92" s="14">
        <f t="shared" si="7"/>
        <v>677</v>
      </c>
      <c r="G92" s="19">
        <f t="shared" si="8"/>
        <v>4612</v>
      </c>
    </row>
    <row r="93">
      <c r="A93" s="12">
        <v>8.0</v>
      </c>
      <c r="B93" s="12" t="s">
        <v>22</v>
      </c>
      <c r="C93" s="13" t="s">
        <v>400</v>
      </c>
      <c r="D93" s="14">
        <v>1209.0</v>
      </c>
      <c r="E93" s="14">
        <v>1269.0</v>
      </c>
      <c r="F93" s="14">
        <f t="shared" si="7"/>
        <v>2478</v>
      </c>
      <c r="G93" s="19">
        <f t="shared" si="8"/>
        <v>7090</v>
      </c>
    </row>
    <row r="94">
      <c r="A94" s="12">
        <v>9.0</v>
      </c>
      <c r="B94" s="12" t="s">
        <v>93</v>
      </c>
      <c r="C94" s="13" t="s">
        <v>108</v>
      </c>
      <c r="D94" s="14">
        <v>614.0</v>
      </c>
      <c r="E94" s="16"/>
      <c r="F94" s="14">
        <f t="shared" si="7"/>
        <v>614</v>
      </c>
      <c r="G94" s="19">
        <f t="shared" si="8"/>
        <v>7704</v>
      </c>
    </row>
    <row r="95">
      <c r="A95" s="12">
        <v>10.0</v>
      </c>
      <c r="B95" s="12" t="s">
        <v>93</v>
      </c>
      <c r="C95" s="13" t="s">
        <v>108</v>
      </c>
      <c r="D95" s="14">
        <v>645.0</v>
      </c>
      <c r="E95" s="16"/>
      <c r="F95" s="14">
        <f t="shared" si="7"/>
        <v>645</v>
      </c>
      <c r="G95" s="19">
        <f t="shared" si="8"/>
        <v>8349</v>
      </c>
    </row>
    <row r="96">
      <c r="A96" s="12">
        <v>11.0</v>
      </c>
      <c r="B96" s="12" t="s">
        <v>99</v>
      </c>
      <c r="C96" s="13" t="s">
        <v>114</v>
      </c>
      <c r="D96" s="14">
        <v>677.0</v>
      </c>
      <c r="E96" s="16"/>
      <c r="F96" s="14">
        <f t="shared" si="7"/>
        <v>677</v>
      </c>
      <c r="G96" s="19">
        <f t="shared" si="8"/>
        <v>9026</v>
      </c>
    </row>
    <row r="97">
      <c r="A97" s="12">
        <v>12.0</v>
      </c>
      <c r="B97" s="12" t="s">
        <v>99</v>
      </c>
      <c r="C97" s="13" t="s">
        <v>114</v>
      </c>
      <c r="D97" s="14">
        <v>677.0</v>
      </c>
      <c r="E97" s="16"/>
      <c r="F97" s="14">
        <f t="shared" si="7"/>
        <v>677</v>
      </c>
      <c r="G97" s="19">
        <f t="shared" si="8"/>
        <v>9703</v>
      </c>
    </row>
    <row r="98">
      <c r="A98" s="12">
        <v>13.0</v>
      </c>
      <c r="B98" s="12" t="s">
        <v>93</v>
      </c>
      <c r="C98" s="13" t="s">
        <v>108</v>
      </c>
      <c r="D98" s="14">
        <v>645.0</v>
      </c>
      <c r="E98" s="16"/>
      <c r="F98" s="14">
        <f t="shared" si="7"/>
        <v>645</v>
      </c>
      <c r="G98" s="19">
        <f t="shared" si="8"/>
        <v>10348</v>
      </c>
    </row>
    <row r="99">
      <c r="A99" s="12">
        <v>14.0</v>
      </c>
      <c r="B99" s="12" t="s">
        <v>93</v>
      </c>
      <c r="C99" s="13" t="s">
        <v>108</v>
      </c>
      <c r="D99" s="14">
        <v>677.0</v>
      </c>
      <c r="E99" s="16"/>
      <c r="F99" s="14">
        <f t="shared" si="7"/>
        <v>677</v>
      </c>
      <c r="G99" s="19">
        <f t="shared" si="8"/>
        <v>11025</v>
      </c>
    </row>
    <row r="100">
      <c r="A100" s="12">
        <v>15.0</v>
      </c>
      <c r="B100" s="12" t="s">
        <v>93</v>
      </c>
      <c r="C100" s="13" t="s">
        <v>108</v>
      </c>
      <c r="D100" s="14">
        <v>677.0</v>
      </c>
      <c r="E100" s="16"/>
      <c r="F100" s="14">
        <f t="shared" si="7"/>
        <v>677</v>
      </c>
      <c r="G100" s="19">
        <f t="shared" si="8"/>
        <v>11702</v>
      </c>
    </row>
    <row r="101">
      <c r="A101" s="12">
        <v>16.0</v>
      </c>
      <c r="B101" s="12" t="s">
        <v>104</v>
      </c>
      <c r="C101" s="13" t="s">
        <v>119</v>
      </c>
      <c r="D101" s="14">
        <v>711.0</v>
      </c>
      <c r="E101" s="16"/>
      <c r="F101" s="14">
        <f t="shared" si="7"/>
        <v>711</v>
      </c>
      <c r="G101" s="19">
        <f t="shared" si="8"/>
        <v>12413</v>
      </c>
    </row>
    <row r="102">
      <c r="A102" s="12">
        <v>17.0</v>
      </c>
      <c r="B102" s="12" t="s">
        <v>126</v>
      </c>
      <c r="C102" s="23" t="s">
        <v>405</v>
      </c>
      <c r="D102" s="14">
        <v>3360.0</v>
      </c>
      <c r="E102" s="16"/>
      <c r="F102" s="14">
        <f t="shared" si="7"/>
        <v>3360</v>
      </c>
      <c r="G102" s="19">
        <f t="shared" si="8"/>
        <v>15773</v>
      </c>
    </row>
    <row r="103">
      <c r="A103" s="12">
        <v>18.0</v>
      </c>
      <c r="B103" s="12" t="s">
        <v>47</v>
      </c>
      <c r="C103" s="13" t="s">
        <v>57</v>
      </c>
      <c r="D103" s="14">
        <v>614.0</v>
      </c>
      <c r="E103" s="16"/>
      <c r="F103" s="14">
        <f t="shared" si="7"/>
        <v>614</v>
      </c>
      <c r="G103" s="19">
        <f t="shared" si="8"/>
        <v>16387</v>
      </c>
    </row>
    <row r="104">
      <c r="A104" s="12">
        <v>19.0</v>
      </c>
      <c r="B104" s="12" t="s">
        <v>51</v>
      </c>
      <c r="C104" s="13" t="s">
        <v>63</v>
      </c>
      <c r="D104" s="14">
        <v>645.0</v>
      </c>
      <c r="E104" s="16"/>
      <c r="F104" s="14">
        <f t="shared" si="7"/>
        <v>645</v>
      </c>
      <c r="G104" s="19">
        <f t="shared" si="8"/>
        <v>17032</v>
      </c>
    </row>
    <row r="105">
      <c r="A105" s="12">
        <v>20.0</v>
      </c>
      <c r="B105" s="12" t="s">
        <v>51</v>
      </c>
      <c r="C105" s="13" t="s">
        <v>63</v>
      </c>
      <c r="D105" s="14">
        <v>677.0</v>
      </c>
      <c r="E105" s="16"/>
      <c r="F105" s="14">
        <f t="shared" si="7"/>
        <v>677</v>
      </c>
      <c r="G105" s="19">
        <f t="shared" si="8"/>
        <v>17709</v>
      </c>
    </row>
    <row r="106">
      <c r="A106" s="12">
        <v>21.0</v>
      </c>
      <c r="B106" s="12" t="s">
        <v>51</v>
      </c>
      <c r="C106" s="13" t="s">
        <v>63</v>
      </c>
      <c r="D106" s="14">
        <v>677.0</v>
      </c>
      <c r="E106" s="16"/>
      <c r="F106" s="14">
        <f t="shared" si="7"/>
        <v>677</v>
      </c>
      <c r="G106" s="19">
        <f t="shared" si="8"/>
        <v>18386</v>
      </c>
    </row>
    <row r="107">
      <c r="A107" s="12">
        <v>22.0</v>
      </c>
      <c r="B107" s="12" t="s">
        <v>47</v>
      </c>
      <c r="C107" s="13" t="s">
        <v>57</v>
      </c>
      <c r="D107" s="14">
        <v>645.0</v>
      </c>
      <c r="E107" s="16"/>
      <c r="F107" s="14">
        <f t="shared" si="7"/>
        <v>645</v>
      </c>
      <c r="G107" s="19">
        <f t="shared" si="8"/>
        <v>19031</v>
      </c>
    </row>
    <row r="108">
      <c r="A108" s="12">
        <v>23.0</v>
      </c>
      <c r="B108" s="12" t="s">
        <v>47</v>
      </c>
      <c r="C108" s="13" t="s">
        <v>57</v>
      </c>
      <c r="D108" s="14">
        <v>677.0</v>
      </c>
      <c r="E108" s="16"/>
      <c r="F108" s="14">
        <f t="shared" si="7"/>
        <v>677</v>
      </c>
      <c r="G108" s="19">
        <f t="shared" si="8"/>
        <v>19708</v>
      </c>
    </row>
    <row r="109">
      <c r="A109" s="12">
        <v>24.0</v>
      </c>
      <c r="B109" s="12" t="s">
        <v>51</v>
      </c>
      <c r="C109" s="13" t="s">
        <v>63</v>
      </c>
      <c r="D109" s="14">
        <v>677.0</v>
      </c>
      <c r="E109" s="16"/>
      <c r="F109" s="14">
        <f t="shared" si="7"/>
        <v>677</v>
      </c>
      <c r="G109" s="19">
        <f t="shared" si="8"/>
        <v>20385</v>
      </c>
    </row>
    <row r="110">
      <c r="A110" s="12">
        <v>25.0</v>
      </c>
      <c r="B110" s="12" t="s">
        <v>51</v>
      </c>
      <c r="C110" s="13" t="s">
        <v>63</v>
      </c>
      <c r="D110" s="14">
        <v>711.0</v>
      </c>
      <c r="E110" s="16"/>
      <c r="F110" s="14">
        <f t="shared" si="7"/>
        <v>711</v>
      </c>
      <c r="G110" s="19">
        <f t="shared" si="8"/>
        <v>21096</v>
      </c>
    </row>
    <row r="111">
      <c r="A111" s="12">
        <v>26.0</v>
      </c>
      <c r="B111" s="12" t="s">
        <v>106</v>
      </c>
      <c r="C111" s="13" t="s">
        <v>122</v>
      </c>
      <c r="D111" s="14">
        <v>614.0</v>
      </c>
      <c r="E111" s="16"/>
      <c r="F111" s="14">
        <f t="shared" si="7"/>
        <v>614</v>
      </c>
      <c r="G111" s="19">
        <f t="shared" si="8"/>
        <v>21710</v>
      </c>
    </row>
    <row r="112">
      <c r="A112" s="12">
        <v>27.0</v>
      </c>
      <c r="B112" s="12" t="s">
        <v>106</v>
      </c>
      <c r="C112" s="13" t="s">
        <v>122</v>
      </c>
      <c r="D112" s="14">
        <v>645.0</v>
      </c>
      <c r="E112" s="16"/>
      <c r="F112" s="14">
        <f t="shared" si="7"/>
        <v>645</v>
      </c>
      <c r="G112" s="19">
        <f t="shared" si="8"/>
        <v>22355</v>
      </c>
    </row>
    <row r="113">
      <c r="A113" s="12">
        <v>28.0</v>
      </c>
      <c r="B113" s="12" t="s">
        <v>106</v>
      </c>
      <c r="C113" s="13" t="s">
        <v>122</v>
      </c>
      <c r="D113" s="14">
        <v>677.0</v>
      </c>
      <c r="E113" s="16"/>
      <c r="F113" s="14">
        <f t="shared" si="7"/>
        <v>677</v>
      </c>
      <c r="G113" s="19">
        <f t="shared" si="8"/>
        <v>23032</v>
      </c>
    </row>
    <row r="114">
      <c r="A114" s="12">
        <v>29.0</v>
      </c>
      <c r="B114" s="12" t="s">
        <v>106</v>
      </c>
      <c r="C114" s="13" t="s">
        <v>122</v>
      </c>
      <c r="D114" s="14">
        <v>677.0</v>
      </c>
      <c r="E114" s="16"/>
      <c r="F114" s="14">
        <f t="shared" si="7"/>
        <v>677</v>
      </c>
      <c r="G114" s="19">
        <f t="shared" si="8"/>
        <v>23709</v>
      </c>
    </row>
    <row r="115">
      <c r="A115" s="12">
        <v>30.0</v>
      </c>
      <c r="B115" s="12" t="s">
        <v>106</v>
      </c>
      <c r="C115" s="13" t="s">
        <v>122</v>
      </c>
      <c r="D115" s="14">
        <v>645.0</v>
      </c>
      <c r="E115" s="16"/>
      <c r="F115" s="14">
        <f t="shared" si="7"/>
        <v>645</v>
      </c>
      <c r="G115" s="19">
        <f t="shared" si="8"/>
        <v>24354</v>
      </c>
    </row>
    <row r="116">
      <c r="A116" s="12">
        <v>31.0</v>
      </c>
      <c r="B116" s="12" t="s">
        <v>47</v>
      </c>
      <c r="C116" s="13" t="s">
        <v>57</v>
      </c>
      <c r="D116" s="14">
        <v>677.0</v>
      </c>
      <c r="E116" s="16"/>
      <c r="F116" s="14">
        <f t="shared" si="7"/>
        <v>677</v>
      </c>
      <c r="G116" s="19">
        <f t="shared" si="8"/>
        <v>25031</v>
      </c>
    </row>
    <row r="117">
      <c r="A117" s="12">
        <v>32.0</v>
      </c>
      <c r="B117" s="12" t="s">
        <v>47</v>
      </c>
      <c r="C117" s="13" t="s">
        <v>57</v>
      </c>
      <c r="D117" s="14">
        <v>677.0</v>
      </c>
      <c r="E117" s="16"/>
      <c r="F117" s="14">
        <f t="shared" si="7"/>
        <v>677</v>
      </c>
      <c r="G117" s="19">
        <f t="shared" si="8"/>
        <v>25708</v>
      </c>
    </row>
    <row r="118">
      <c r="A118" s="12">
        <v>33.0</v>
      </c>
      <c r="B118" s="12" t="s">
        <v>22</v>
      </c>
      <c r="C118" s="13" t="s">
        <v>400</v>
      </c>
      <c r="D118" s="14">
        <v>1209.0</v>
      </c>
      <c r="E118" s="14">
        <v>1269.0</v>
      </c>
      <c r="F118" s="14">
        <f t="shared" si="7"/>
        <v>2478</v>
      </c>
      <c r="G118" s="19">
        <f t="shared" si="8"/>
        <v>28186</v>
      </c>
    </row>
    <row r="119">
      <c r="A119" s="24"/>
      <c r="B119" s="24"/>
      <c r="C119" s="26"/>
      <c r="D119" s="27">
        <v>35.0</v>
      </c>
      <c r="E119" s="28"/>
      <c r="F119" s="27">
        <f>SUM(F86:F118)</f>
        <v>28186</v>
      </c>
      <c r="G119" s="29">
        <f>G118</f>
        <v>28186</v>
      </c>
    </row>
  </sheetData>
  <mergeCells count="4">
    <mergeCell ref="A1:G2"/>
    <mergeCell ref="A20:G21"/>
    <mergeCell ref="A49:G50"/>
    <mergeCell ref="A83:G84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8.86"/>
    <col customWidth="1" min="3" max="3" width="57.71"/>
    <col customWidth="1" min="4" max="5" width="7.14"/>
    <col customWidth="1" min="6" max="6" width="7.0"/>
    <col customWidth="1" min="7" max="7" width="8.57"/>
  </cols>
  <sheetData>
    <row r="1">
      <c r="A1" s="4" t="s">
        <v>163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25</v>
      </c>
      <c r="C4" s="13" t="s">
        <v>32</v>
      </c>
      <c r="D4" s="14">
        <v>165.0</v>
      </c>
      <c r="E4" s="16"/>
      <c r="F4" s="14">
        <f t="shared" ref="F4:F17" si="1">SUM(D4:E4)</f>
        <v>165</v>
      </c>
      <c r="G4" s="19">
        <f>F4</f>
        <v>165</v>
      </c>
    </row>
    <row r="5">
      <c r="A5" s="12">
        <v>2.0</v>
      </c>
      <c r="B5" s="12" t="s">
        <v>12</v>
      </c>
      <c r="C5" s="13" t="s">
        <v>16</v>
      </c>
      <c r="D5" s="14">
        <v>165.0</v>
      </c>
      <c r="E5" s="16"/>
      <c r="F5" s="14">
        <f t="shared" si="1"/>
        <v>165</v>
      </c>
      <c r="G5" s="19">
        <f t="shared" ref="G5:G17" si="2">G4+F5</f>
        <v>330</v>
      </c>
    </row>
    <row r="6">
      <c r="A6" s="12">
        <v>3.0</v>
      </c>
      <c r="B6" s="12" t="s">
        <v>22</v>
      </c>
      <c r="C6" s="13" t="s">
        <v>363</v>
      </c>
      <c r="D6" s="14">
        <v>294.0</v>
      </c>
      <c r="E6" s="14">
        <v>309.0</v>
      </c>
      <c r="F6" s="14">
        <f t="shared" si="1"/>
        <v>603</v>
      </c>
      <c r="G6" s="19">
        <f t="shared" si="2"/>
        <v>933</v>
      </c>
    </row>
    <row r="7">
      <c r="A7" s="12">
        <v>4.0</v>
      </c>
      <c r="B7" s="12" t="s">
        <v>25</v>
      </c>
      <c r="C7" s="13" t="s">
        <v>32</v>
      </c>
      <c r="D7" s="14">
        <v>183.0</v>
      </c>
      <c r="E7" s="16"/>
      <c r="F7" s="14">
        <f t="shared" si="1"/>
        <v>183</v>
      </c>
      <c r="G7" s="19">
        <f t="shared" si="2"/>
        <v>1116</v>
      </c>
    </row>
    <row r="8">
      <c r="A8" s="12">
        <v>5.0</v>
      </c>
      <c r="B8" s="12" t="s">
        <v>25</v>
      </c>
      <c r="C8" s="13" t="s">
        <v>32</v>
      </c>
      <c r="D8" s="14">
        <v>191.0</v>
      </c>
      <c r="E8" s="16"/>
      <c r="F8" s="14">
        <f t="shared" si="1"/>
        <v>191</v>
      </c>
      <c r="G8" s="19">
        <f t="shared" si="2"/>
        <v>1307</v>
      </c>
    </row>
    <row r="9">
      <c r="A9" s="12">
        <v>6.0</v>
      </c>
      <c r="B9" s="12" t="s">
        <v>25</v>
      </c>
      <c r="C9" s="13" t="s">
        <v>32</v>
      </c>
      <c r="D9" s="14">
        <v>200.0</v>
      </c>
      <c r="E9" s="16"/>
      <c r="F9" s="14">
        <f t="shared" si="1"/>
        <v>200</v>
      </c>
      <c r="G9" s="19">
        <f t="shared" si="2"/>
        <v>1507</v>
      </c>
    </row>
    <row r="10">
      <c r="A10" s="12">
        <v>7.0</v>
      </c>
      <c r="B10" s="12" t="s">
        <v>25</v>
      </c>
      <c r="C10" s="13" t="s">
        <v>32</v>
      </c>
      <c r="D10" s="14">
        <v>210.0</v>
      </c>
      <c r="E10" s="16"/>
      <c r="F10" s="14">
        <f t="shared" si="1"/>
        <v>210</v>
      </c>
      <c r="G10" s="19">
        <f t="shared" si="2"/>
        <v>1717</v>
      </c>
    </row>
    <row r="11">
      <c r="A11" s="12">
        <v>8.0</v>
      </c>
      <c r="B11" s="12" t="s">
        <v>28</v>
      </c>
      <c r="C11" s="13" t="s">
        <v>34</v>
      </c>
      <c r="D11" s="14">
        <v>221.0</v>
      </c>
      <c r="E11" s="14">
        <v>221.0</v>
      </c>
      <c r="F11" s="14">
        <f t="shared" si="1"/>
        <v>442</v>
      </c>
      <c r="G11" s="19">
        <f t="shared" si="2"/>
        <v>2159</v>
      </c>
    </row>
    <row r="12">
      <c r="A12" s="12">
        <v>9.0</v>
      </c>
      <c r="B12" s="12" t="s">
        <v>12</v>
      </c>
      <c r="C12" s="13" t="s">
        <v>16</v>
      </c>
      <c r="D12" s="14">
        <v>183.0</v>
      </c>
      <c r="E12" s="16"/>
      <c r="F12" s="14">
        <f t="shared" si="1"/>
        <v>183</v>
      </c>
      <c r="G12" s="19">
        <f t="shared" si="2"/>
        <v>2342</v>
      </c>
    </row>
    <row r="13">
      <c r="A13" s="12">
        <v>10.0</v>
      </c>
      <c r="B13" s="12" t="s">
        <v>12</v>
      </c>
      <c r="C13" s="13" t="s">
        <v>16</v>
      </c>
      <c r="D13" s="14">
        <v>191.0</v>
      </c>
      <c r="E13" s="16"/>
      <c r="F13" s="14">
        <f t="shared" si="1"/>
        <v>191</v>
      </c>
      <c r="G13" s="19">
        <f t="shared" si="2"/>
        <v>2533</v>
      </c>
    </row>
    <row r="14">
      <c r="A14" s="12">
        <v>11.0</v>
      </c>
      <c r="B14" s="12" t="s">
        <v>12</v>
      </c>
      <c r="C14" s="13" t="s">
        <v>16</v>
      </c>
      <c r="D14" s="14">
        <v>200.0</v>
      </c>
      <c r="E14" s="16"/>
      <c r="F14" s="14">
        <f t="shared" si="1"/>
        <v>200</v>
      </c>
      <c r="G14" s="19">
        <f t="shared" si="2"/>
        <v>2733</v>
      </c>
    </row>
    <row r="15">
      <c r="A15" s="12">
        <v>12.0</v>
      </c>
      <c r="B15" s="12" t="s">
        <v>12</v>
      </c>
      <c r="C15" s="13" t="s">
        <v>16</v>
      </c>
      <c r="D15" s="14">
        <v>210.0</v>
      </c>
      <c r="E15" s="16"/>
      <c r="F15" s="14">
        <f t="shared" si="1"/>
        <v>210</v>
      </c>
      <c r="G15" s="19">
        <f t="shared" si="2"/>
        <v>2943</v>
      </c>
    </row>
    <row r="16">
      <c r="A16" s="12">
        <v>13.0</v>
      </c>
      <c r="B16" s="12" t="s">
        <v>22</v>
      </c>
      <c r="C16" s="13" t="s">
        <v>293</v>
      </c>
      <c r="D16" s="14">
        <v>221.0</v>
      </c>
      <c r="E16" s="14">
        <v>221.0</v>
      </c>
      <c r="F16" s="14">
        <f t="shared" si="1"/>
        <v>442</v>
      </c>
      <c r="G16" s="19">
        <f t="shared" si="2"/>
        <v>3385</v>
      </c>
    </row>
    <row r="17">
      <c r="A17" s="12">
        <v>14.0</v>
      </c>
      <c r="B17" s="12" t="s">
        <v>303</v>
      </c>
      <c r="C17" s="23" t="s">
        <v>374</v>
      </c>
      <c r="D17" s="14">
        <v>1046.0</v>
      </c>
      <c r="E17" s="16"/>
      <c r="F17" s="14">
        <f t="shared" si="1"/>
        <v>1046</v>
      </c>
      <c r="G17" s="19">
        <f t="shared" si="2"/>
        <v>4431</v>
      </c>
    </row>
    <row r="18">
      <c r="A18" s="24"/>
      <c r="B18" s="24"/>
      <c r="C18" s="26"/>
      <c r="D18" s="27">
        <v>17.0</v>
      </c>
      <c r="E18" s="28"/>
      <c r="F18" s="27">
        <f>SUM(F4:F17)</f>
        <v>4431</v>
      </c>
      <c r="G18" s="29">
        <f>G17</f>
        <v>4431</v>
      </c>
    </row>
    <row r="19">
      <c r="C19" s="30"/>
      <c r="G19" s="30"/>
    </row>
    <row r="20">
      <c r="A20" s="4" t="s">
        <v>361</v>
      </c>
      <c r="B20" s="5"/>
      <c r="C20" s="5"/>
      <c r="D20" s="5"/>
      <c r="E20" s="5"/>
      <c r="F20" s="5"/>
      <c r="G20" s="6"/>
    </row>
    <row r="21">
      <c r="A21" s="7"/>
      <c r="B21" s="8"/>
      <c r="C21" s="8"/>
      <c r="D21" s="8"/>
      <c r="E21" s="8"/>
      <c r="F21" s="8"/>
      <c r="G21" s="9"/>
    </row>
    <row r="22">
      <c r="A22" s="10"/>
      <c r="B22" s="10" t="s">
        <v>6</v>
      </c>
      <c r="C22" s="11" t="s">
        <v>7</v>
      </c>
      <c r="D22" s="10" t="s">
        <v>8</v>
      </c>
      <c r="E22" s="10" t="s">
        <v>9</v>
      </c>
      <c r="F22" s="10" t="s">
        <v>10</v>
      </c>
      <c r="G22" s="11" t="s">
        <v>11</v>
      </c>
    </row>
    <row r="23">
      <c r="A23" s="12">
        <v>1.0</v>
      </c>
      <c r="B23" s="12" t="s">
        <v>40</v>
      </c>
      <c r="C23" s="13" t="s">
        <v>59</v>
      </c>
      <c r="D23" s="14">
        <v>394.0</v>
      </c>
      <c r="E23" s="16"/>
      <c r="F23" s="14">
        <f t="shared" ref="F23:F46" si="3">SUM(D23:E23)</f>
        <v>394</v>
      </c>
      <c r="G23" s="19">
        <f>F23</f>
        <v>394</v>
      </c>
    </row>
    <row r="24">
      <c r="A24" s="12">
        <v>2.0</v>
      </c>
      <c r="B24" s="12" t="s">
        <v>40</v>
      </c>
      <c r="C24" s="13" t="s">
        <v>59</v>
      </c>
      <c r="D24" s="14">
        <v>413.0</v>
      </c>
      <c r="E24" s="16"/>
      <c r="F24" s="14">
        <f t="shared" si="3"/>
        <v>413</v>
      </c>
      <c r="G24" s="19">
        <f t="shared" ref="G24:G46" si="4">G23+F24</f>
        <v>807</v>
      </c>
    </row>
    <row r="25">
      <c r="A25" s="12">
        <v>3.0</v>
      </c>
      <c r="B25" s="12" t="s">
        <v>40</v>
      </c>
      <c r="C25" s="13" t="s">
        <v>59</v>
      </c>
      <c r="D25" s="14">
        <v>434.0</v>
      </c>
      <c r="E25" s="16"/>
      <c r="F25" s="14">
        <f t="shared" si="3"/>
        <v>434</v>
      </c>
      <c r="G25" s="19">
        <f t="shared" si="4"/>
        <v>1241</v>
      </c>
    </row>
    <row r="26">
      <c r="A26" s="12">
        <v>4.0</v>
      </c>
      <c r="B26" s="12" t="s">
        <v>43</v>
      </c>
      <c r="C26" s="13" t="s">
        <v>54</v>
      </c>
      <c r="D26" s="14">
        <v>394.0</v>
      </c>
      <c r="E26" s="16"/>
      <c r="F26" s="14">
        <f t="shared" si="3"/>
        <v>394</v>
      </c>
      <c r="G26" s="19">
        <f t="shared" si="4"/>
        <v>1635</v>
      </c>
    </row>
    <row r="27">
      <c r="A27" s="12">
        <v>5.0</v>
      </c>
      <c r="B27" s="12" t="s">
        <v>43</v>
      </c>
      <c r="C27" s="13" t="s">
        <v>54</v>
      </c>
      <c r="D27" s="14">
        <v>413.0</v>
      </c>
      <c r="E27" s="16"/>
      <c r="F27" s="14">
        <f t="shared" si="3"/>
        <v>413</v>
      </c>
      <c r="G27" s="19">
        <f t="shared" si="4"/>
        <v>2048</v>
      </c>
    </row>
    <row r="28">
      <c r="A28" s="12">
        <v>6.0</v>
      </c>
      <c r="B28" s="12" t="s">
        <v>43</v>
      </c>
      <c r="C28" s="13" t="s">
        <v>54</v>
      </c>
      <c r="D28" s="14">
        <v>434.0</v>
      </c>
      <c r="E28" s="16"/>
      <c r="F28" s="14">
        <f t="shared" si="3"/>
        <v>434</v>
      </c>
      <c r="G28" s="19">
        <f t="shared" si="4"/>
        <v>2482</v>
      </c>
    </row>
    <row r="29">
      <c r="A29" s="12">
        <v>7.0</v>
      </c>
      <c r="B29" s="12" t="s">
        <v>43</v>
      </c>
      <c r="C29" s="13" t="s">
        <v>54</v>
      </c>
      <c r="D29" s="14">
        <v>456.0</v>
      </c>
      <c r="E29" s="16"/>
      <c r="F29" s="14">
        <f t="shared" si="3"/>
        <v>456</v>
      </c>
      <c r="G29" s="19">
        <f t="shared" si="4"/>
        <v>2938</v>
      </c>
    </row>
    <row r="30">
      <c r="A30" s="12">
        <v>8.0</v>
      </c>
      <c r="B30" s="12" t="s">
        <v>45</v>
      </c>
      <c r="C30" s="13" t="s">
        <v>388</v>
      </c>
      <c r="D30" s="14">
        <v>813.0</v>
      </c>
      <c r="E30" s="14">
        <v>854.0</v>
      </c>
      <c r="F30" s="14">
        <f t="shared" si="3"/>
        <v>1667</v>
      </c>
      <c r="G30" s="19">
        <f t="shared" si="4"/>
        <v>4605</v>
      </c>
    </row>
    <row r="31">
      <c r="A31" s="12">
        <v>9.0</v>
      </c>
      <c r="B31" s="12" t="s">
        <v>40</v>
      </c>
      <c r="C31" s="13" t="s">
        <v>59</v>
      </c>
      <c r="D31" s="14">
        <v>503.0</v>
      </c>
      <c r="E31" s="16"/>
      <c r="F31" s="14">
        <f t="shared" si="3"/>
        <v>503</v>
      </c>
      <c r="G31" s="19">
        <f t="shared" si="4"/>
        <v>5108</v>
      </c>
    </row>
    <row r="32">
      <c r="A32" s="12">
        <v>10.0</v>
      </c>
      <c r="B32" s="12" t="s">
        <v>47</v>
      </c>
      <c r="C32" s="13" t="s">
        <v>81</v>
      </c>
      <c r="D32" s="14">
        <v>528.0</v>
      </c>
      <c r="E32" s="16"/>
      <c r="F32" s="14">
        <f t="shared" si="3"/>
        <v>528</v>
      </c>
      <c r="G32" s="19">
        <f t="shared" si="4"/>
        <v>5636</v>
      </c>
    </row>
    <row r="33">
      <c r="A33" s="12">
        <v>11.0</v>
      </c>
      <c r="B33" s="12" t="s">
        <v>40</v>
      </c>
      <c r="C33" s="13" t="s">
        <v>59</v>
      </c>
      <c r="D33" s="14">
        <v>554.0</v>
      </c>
      <c r="E33" s="16"/>
      <c r="F33" s="14">
        <f t="shared" si="3"/>
        <v>554</v>
      </c>
      <c r="G33" s="19">
        <f t="shared" si="4"/>
        <v>6190</v>
      </c>
    </row>
    <row r="34">
      <c r="A34" s="12">
        <v>12.0</v>
      </c>
      <c r="B34" s="12" t="s">
        <v>64</v>
      </c>
      <c r="C34" s="13" t="s">
        <v>121</v>
      </c>
      <c r="D34" s="14">
        <v>582.0</v>
      </c>
      <c r="E34" s="16"/>
      <c r="F34" s="14">
        <f t="shared" si="3"/>
        <v>582</v>
      </c>
      <c r="G34" s="19">
        <f t="shared" si="4"/>
        <v>6772</v>
      </c>
    </row>
    <row r="35">
      <c r="A35" s="12">
        <v>13.0</v>
      </c>
      <c r="B35" s="12" t="s">
        <v>40</v>
      </c>
      <c r="C35" s="13" t="s">
        <v>59</v>
      </c>
      <c r="D35" s="14">
        <v>610.0</v>
      </c>
      <c r="E35" s="16"/>
      <c r="F35" s="14">
        <f t="shared" si="3"/>
        <v>610</v>
      </c>
      <c r="G35" s="19">
        <f t="shared" si="4"/>
        <v>7382</v>
      </c>
    </row>
    <row r="36">
      <c r="A36" s="12">
        <v>14.0</v>
      </c>
      <c r="B36" s="12" t="s">
        <v>47</v>
      </c>
      <c r="C36" s="13" t="s">
        <v>81</v>
      </c>
      <c r="D36" s="14">
        <v>641.0</v>
      </c>
      <c r="E36" s="16"/>
      <c r="F36" s="14">
        <f t="shared" si="3"/>
        <v>641</v>
      </c>
      <c r="G36" s="19">
        <f t="shared" si="4"/>
        <v>8023</v>
      </c>
    </row>
    <row r="37">
      <c r="A37" s="12">
        <v>15.0</v>
      </c>
      <c r="B37" s="12" t="s">
        <v>40</v>
      </c>
      <c r="C37" s="13" t="s">
        <v>59</v>
      </c>
      <c r="D37" s="14">
        <v>673.0</v>
      </c>
      <c r="E37" s="16"/>
      <c r="F37" s="14">
        <f t="shared" si="3"/>
        <v>673</v>
      </c>
      <c r="G37" s="19">
        <f t="shared" si="4"/>
        <v>8696</v>
      </c>
    </row>
    <row r="38">
      <c r="A38" s="12">
        <v>16.0</v>
      </c>
      <c r="B38" s="12" t="s">
        <v>43</v>
      </c>
      <c r="C38" s="13" t="s">
        <v>54</v>
      </c>
      <c r="D38" s="14">
        <v>503.0</v>
      </c>
      <c r="E38" s="16"/>
      <c r="F38" s="14">
        <f t="shared" si="3"/>
        <v>503</v>
      </c>
      <c r="G38" s="19">
        <f t="shared" si="4"/>
        <v>9199</v>
      </c>
    </row>
    <row r="39">
      <c r="A39" s="12">
        <v>17.0</v>
      </c>
      <c r="B39" s="12" t="s">
        <v>51</v>
      </c>
      <c r="C39" s="13" t="s">
        <v>69</v>
      </c>
      <c r="D39" s="14">
        <v>528.0</v>
      </c>
      <c r="E39" s="16"/>
      <c r="F39" s="14">
        <f t="shared" si="3"/>
        <v>528</v>
      </c>
      <c r="G39" s="19">
        <f t="shared" si="4"/>
        <v>9727</v>
      </c>
    </row>
    <row r="40">
      <c r="A40" s="12">
        <v>18.0</v>
      </c>
      <c r="B40" s="12" t="s">
        <v>43</v>
      </c>
      <c r="C40" s="13" t="s">
        <v>54</v>
      </c>
      <c r="D40" s="14">
        <v>554.0</v>
      </c>
      <c r="E40" s="16"/>
      <c r="F40" s="14">
        <f t="shared" si="3"/>
        <v>554</v>
      </c>
      <c r="G40" s="19">
        <f t="shared" si="4"/>
        <v>10281</v>
      </c>
    </row>
    <row r="41">
      <c r="A41" s="12">
        <v>19.0</v>
      </c>
      <c r="B41" s="12" t="s">
        <v>75</v>
      </c>
      <c r="C41" s="13" t="s">
        <v>111</v>
      </c>
      <c r="D41" s="14">
        <v>582.0</v>
      </c>
      <c r="E41" s="16"/>
      <c r="F41" s="14">
        <f t="shared" si="3"/>
        <v>582</v>
      </c>
      <c r="G41" s="19">
        <f t="shared" si="4"/>
        <v>10863</v>
      </c>
    </row>
    <row r="42">
      <c r="A42" s="12">
        <v>20.0</v>
      </c>
      <c r="B42" s="12" t="s">
        <v>43</v>
      </c>
      <c r="C42" s="13" t="s">
        <v>54</v>
      </c>
      <c r="D42" s="14">
        <v>610.0</v>
      </c>
      <c r="E42" s="16"/>
      <c r="F42" s="14">
        <f t="shared" si="3"/>
        <v>610</v>
      </c>
      <c r="G42" s="19">
        <f t="shared" si="4"/>
        <v>11473</v>
      </c>
    </row>
    <row r="43">
      <c r="A43" s="12">
        <v>21.0</v>
      </c>
      <c r="B43" s="12" t="s">
        <v>51</v>
      </c>
      <c r="C43" s="13" t="s">
        <v>69</v>
      </c>
      <c r="D43" s="14">
        <v>641.0</v>
      </c>
      <c r="E43" s="16"/>
      <c r="F43" s="14">
        <f t="shared" si="3"/>
        <v>641</v>
      </c>
      <c r="G43" s="19">
        <f t="shared" si="4"/>
        <v>12114</v>
      </c>
    </row>
    <row r="44">
      <c r="A44" s="12">
        <v>22.0</v>
      </c>
      <c r="B44" s="12" t="s">
        <v>43</v>
      </c>
      <c r="C44" s="13" t="s">
        <v>54</v>
      </c>
      <c r="D44" s="14">
        <v>673.0</v>
      </c>
      <c r="E44" s="16"/>
      <c r="F44" s="14">
        <f t="shared" si="3"/>
        <v>673</v>
      </c>
      <c r="G44" s="19">
        <f t="shared" si="4"/>
        <v>12787</v>
      </c>
    </row>
    <row r="45">
      <c r="A45" s="12">
        <v>23.0</v>
      </c>
      <c r="B45" s="12" t="s">
        <v>88</v>
      </c>
      <c r="C45" s="13" t="s">
        <v>89</v>
      </c>
      <c r="D45" s="14">
        <v>3181.0</v>
      </c>
      <c r="E45" s="16"/>
      <c r="F45" s="14">
        <f t="shared" si="3"/>
        <v>3181</v>
      </c>
      <c r="G45" s="19">
        <f t="shared" si="4"/>
        <v>15968</v>
      </c>
    </row>
    <row r="46">
      <c r="A46" s="12">
        <v>24.0</v>
      </c>
      <c r="B46" s="12" t="s">
        <v>40</v>
      </c>
      <c r="C46" s="13" t="s">
        <v>59</v>
      </c>
      <c r="D46" s="14">
        <v>478.0</v>
      </c>
      <c r="E46" s="16"/>
      <c r="F46" s="14">
        <f t="shared" si="3"/>
        <v>478</v>
      </c>
      <c r="G46" s="19">
        <f t="shared" si="4"/>
        <v>16446</v>
      </c>
    </row>
    <row r="47">
      <c r="A47" s="24"/>
      <c r="B47" s="24"/>
      <c r="C47" s="26"/>
      <c r="D47" s="27">
        <v>25.0</v>
      </c>
      <c r="E47" s="28"/>
      <c r="F47" s="27">
        <f>SUM(F23:F46)</f>
        <v>16446</v>
      </c>
      <c r="G47" s="29">
        <f>G46</f>
        <v>16446</v>
      </c>
    </row>
    <row r="48">
      <c r="C48" s="30"/>
      <c r="G48" s="30"/>
    </row>
    <row r="49">
      <c r="A49" s="4" t="s">
        <v>380</v>
      </c>
      <c r="B49" s="5"/>
      <c r="C49" s="5"/>
      <c r="D49" s="5"/>
      <c r="E49" s="5"/>
      <c r="F49" s="5"/>
      <c r="G49" s="6"/>
    </row>
    <row r="50">
      <c r="A50" s="7"/>
      <c r="B50" s="8"/>
      <c r="C50" s="8"/>
      <c r="D50" s="8"/>
      <c r="E50" s="8"/>
      <c r="F50" s="8"/>
      <c r="G50" s="9"/>
    </row>
    <row r="51">
      <c r="A51" s="10"/>
      <c r="B51" s="10" t="s">
        <v>6</v>
      </c>
      <c r="C51" s="11" t="s">
        <v>7</v>
      </c>
      <c r="D51" s="10" t="s">
        <v>8</v>
      </c>
      <c r="E51" s="10" t="s">
        <v>9</v>
      </c>
      <c r="F51" s="10" t="s">
        <v>10</v>
      </c>
      <c r="G51" s="11" t="s">
        <v>11</v>
      </c>
    </row>
    <row r="52">
      <c r="A52" s="12">
        <v>1.0</v>
      </c>
      <c r="B52" s="12" t="s">
        <v>72</v>
      </c>
      <c r="C52" s="13" t="s">
        <v>102</v>
      </c>
      <c r="D52" s="14">
        <v>523.0</v>
      </c>
      <c r="E52" s="16"/>
      <c r="F52" s="14">
        <f t="shared" ref="F52:F80" si="5">SUM(D52:E52)</f>
        <v>523</v>
      </c>
      <c r="G52" s="19">
        <f>F52</f>
        <v>523</v>
      </c>
    </row>
    <row r="53">
      <c r="A53" s="12">
        <v>2.0</v>
      </c>
      <c r="B53" s="12" t="s">
        <v>72</v>
      </c>
      <c r="C53" s="13" t="s">
        <v>102</v>
      </c>
      <c r="D53" s="14">
        <v>550.0</v>
      </c>
      <c r="E53" s="16"/>
      <c r="F53" s="14">
        <f t="shared" si="5"/>
        <v>550</v>
      </c>
      <c r="G53" s="19">
        <f t="shared" ref="G53:G80" si="6">G52+F53</f>
        <v>1073</v>
      </c>
    </row>
    <row r="54">
      <c r="A54" s="12">
        <v>3.0</v>
      </c>
      <c r="B54" s="12" t="s">
        <v>72</v>
      </c>
      <c r="C54" s="13" t="s">
        <v>102</v>
      </c>
      <c r="D54" s="14">
        <v>578.0</v>
      </c>
      <c r="E54" s="16"/>
      <c r="F54" s="14">
        <f t="shared" si="5"/>
        <v>578</v>
      </c>
      <c r="G54" s="19">
        <f t="shared" si="6"/>
        <v>1651</v>
      </c>
    </row>
    <row r="55">
      <c r="A55" s="12">
        <v>4.0</v>
      </c>
      <c r="B55" s="12" t="s">
        <v>72</v>
      </c>
      <c r="C55" s="13" t="s">
        <v>102</v>
      </c>
      <c r="D55" s="14">
        <v>607.0</v>
      </c>
      <c r="E55" s="16"/>
      <c r="F55" s="14">
        <f t="shared" si="5"/>
        <v>607</v>
      </c>
      <c r="G55" s="19">
        <f t="shared" si="6"/>
        <v>2258</v>
      </c>
    </row>
    <row r="56">
      <c r="A56" s="12">
        <v>5.0</v>
      </c>
      <c r="B56" s="12" t="s">
        <v>72</v>
      </c>
      <c r="C56" s="13" t="s">
        <v>102</v>
      </c>
      <c r="D56" s="14">
        <v>607.0</v>
      </c>
      <c r="E56" s="16"/>
      <c r="F56" s="14">
        <f t="shared" si="5"/>
        <v>607</v>
      </c>
      <c r="G56" s="19">
        <f t="shared" si="6"/>
        <v>2865</v>
      </c>
    </row>
    <row r="57">
      <c r="A57" s="12">
        <v>6.0</v>
      </c>
      <c r="B57" s="12" t="s">
        <v>72</v>
      </c>
      <c r="C57" s="13" t="s">
        <v>102</v>
      </c>
      <c r="D57" s="14">
        <v>636.0</v>
      </c>
      <c r="E57" s="16"/>
      <c r="F57" s="14">
        <f t="shared" si="5"/>
        <v>636</v>
      </c>
      <c r="G57" s="19">
        <f t="shared" si="6"/>
        <v>3501</v>
      </c>
    </row>
    <row r="58">
      <c r="A58" s="12">
        <v>7.0</v>
      </c>
      <c r="B58" s="12" t="s">
        <v>64</v>
      </c>
      <c r="C58" s="13" t="s">
        <v>121</v>
      </c>
      <c r="D58" s="14">
        <v>669.0</v>
      </c>
      <c r="E58" s="16"/>
      <c r="F58" s="14">
        <f t="shared" si="5"/>
        <v>669</v>
      </c>
      <c r="G58" s="19">
        <f t="shared" si="6"/>
        <v>4170</v>
      </c>
    </row>
    <row r="59">
      <c r="A59" s="12">
        <v>8.0</v>
      </c>
      <c r="B59" s="12" t="s">
        <v>79</v>
      </c>
      <c r="C59" s="13" t="s">
        <v>310</v>
      </c>
      <c r="D59" s="14">
        <v>523.0</v>
      </c>
      <c r="E59" s="16"/>
      <c r="F59" s="14">
        <f t="shared" si="5"/>
        <v>523</v>
      </c>
      <c r="G59" s="19">
        <f t="shared" si="6"/>
        <v>4693</v>
      </c>
    </row>
    <row r="60">
      <c r="A60" s="12">
        <v>9.0</v>
      </c>
      <c r="B60" s="12" t="s">
        <v>79</v>
      </c>
      <c r="C60" s="13" t="s">
        <v>310</v>
      </c>
      <c r="D60" s="14">
        <v>550.0</v>
      </c>
      <c r="E60" s="16"/>
      <c r="F60" s="14">
        <f t="shared" si="5"/>
        <v>550</v>
      </c>
      <c r="G60" s="19">
        <f t="shared" si="6"/>
        <v>5243</v>
      </c>
    </row>
    <row r="61">
      <c r="A61" s="12">
        <v>10.0</v>
      </c>
      <c r="B61" s="12" t="s">
        <v>79</v>
      </c>
      <c r="C61" s="13" t="s">
        <v>310</v>
      </c>
      <c r="D61" s="14">
        <v>578.0</v>
      </c>
      <c r="E61" s="16"/>
      <c r="F61" s="14">
        <f t="shared" si="5"/>
        <v>578</v>
      </c>
      <c r="G61" s="19">
        <f t="shared" si="6"/>
        <v>5821</v>
      </c>
    </row>
    <row r="62">
      <c r="A62" s="12">
        <v>11.0</v>
      </c>
      <c r="B62" s="12" t="s">
        <v>79</v>
      </c>
      <c r="C62" s="13" t="s">
        <v>310</v>
      </c>
      <c r="D62" s="14">
        <v>607.0</v>
      </c>
      <c r="E62" s="16"/>
      <c r="F62" s="14">
        <f t="shared" si="5"/>
        <v>607</v>
      </c>
      <c r="G62" s="19">
        <f t="shared" si="6"/>
        <v>6428</v>
      </c>
    </row>
    <row r="63">
      <c r="A63" s="12">
        <v>12.0</v>
      </c>
      <c r="B63" s="12" t="s">
        <v>79</v>
      </c>
      <c r="C63" s="13" t="s">
        <v>310</v>
      </c>
      <c r="D63" s="14">
        <v>607.0</v>
      </c>
      <c r="E63" s="16"/>
      <c r="F63" s="14">
        <f t="shared" si="5"/>
        <v>607</v>
      </c>
      <c r="G63" s="19">
        <f t="shared" si="6"/>
        <v>7035</v>
      </c>
    </row>
    <row r="64">
      <c r="A64" s="12">
        <v>13.0</v>
      </c>
      <c r="B64" s="12" t="s">
        <v>79</v>
      </c>
      <c r="C64" s="13" t="s">
        <v>310</v>
      </c>
      <c r="D64" s="14">
        <v>636.0</v>
      </c>
      <c r="E64" s="16"/>
      <c r="F64" s="14">
        <f t="shared" si="5"/>
        <v>636</v>
      </c>
      <c r="G64" s="19">
        <f t="shared" si="6"/>
        <v>7671</v>
      </c>
    </row>
    <row r="65">
      <c r="A65" s="12">
        <v>14.0</v>
      </c>
      <c r="B65" s="12" t="s">
        <v>83</v>
      </c>
      <c r="C65" s="13" t="s">
        <v>399</v>
      </c>
      <c r="D65" s="14">
        <v>1083.0</v>
      </c>
      <c r="E65" s="14">
        <v>1137.0</v>
      </c>
      <c r="F65" s="14">
        <f t="shared" si="5"/>
        <v>2220</v>
      </c>
      <c r="G65" s="19">
        <f t="shared" si="6"/>
        <v>9891</v>
      </c>
    </row>
    <row r="66">
      <c r="A66" s="12">
        <v>15.0</v>
      </c>
      <c r="B66" s="12" t="s">
        <v>67</v>
      </c>
      <c r="C66" s="13" t="s">
        <v>125</v>
      </c>
      <c r="D66" s="14">
        <v>523.0</v>
      </c>
      <c r="E66" s="16"/>
      <c r="F66" s="14">
        <f t="shared" si="5"/>
        <v>523</v>
      </c>
      <c r="G66" s="19">
        <f t="shared" si="6"/>
        <v>10414</v>
      </c>
    </row>
    <row r="67">
      <c r="A67" s="12">
        <v>16.0</v>
      </c>
      <c r="B67" s="12" t="s">
        <v>67</v>
      </c>
      <c r="C67" s="13" t="s">
        <v>125</v>
      </c>
      <c r="D67" s="14">
        <v>550.0</v>
      </c>
      <c r="E67" s="16"/>
      <c r="F67" s="14">
        <f t="shared" si="5"/>
        <v>550</v>
      </c>
      <c r="G67" s="19">
        <f t="shared" si="6"/>
        <v>10964</v>
      </c>
    </row>
    <row r="68">
      <c r="A68" s="12">
        <v>17.0</v>
      </c>
      <c r="B68" s="12" t="s">
        <v>67</v>
      </c>
      <c r="C68" s="13" t="s">
        <v>125</v>
      </c>
      <c r="D68" s="14">
        <v>578.0</v>
      </c>
      <c r="E68" s="16"/>
      <c r="F68" s="14">
        <f t="shared" si="5"/>
        <v>578</v>
      </c>
      <c r="G68" s="19">
        <f t="shared" si="6"/>
        <v>11542</v>
      </c>
    </row>
    <row r="69">
      <c r="A69" s="12">
        <v>18.0</v>
      </c>
      <c r="B69" s="12" t="s">
        <v>67</v>
      </c>
      <c r="C69" s="13" t="s">
        <v>125</v>
      </c>
      <c r="D69" s="14">
        <v>607.0</v>
      </c>
      <c r="E69" s="16"/>
      <c r="F69" s="14">
        <f t="shared" si="5"/>
        <v>607</v>
      </c>
      <c r="G69" s="19">
        <f t="shared" si="6"/>
        <v>12149</v>
      </c>
    </row>
    <row r="70">
      <c r="A70" s="12">
        <v>19.0</v>
      </c>
      <c r="B70" s="12" t="s">
        <v>70</v>
      </c>
      <c r="C70" s="13" t="s">
        <v>402</v>
      </c>
      <c r="D70" s="14">
        <v>1083.0</v>
      </c>
      <c r="E70" s="14">
        <v>1137.0</v>
      </c>
      <c r="F70" s="14">
        <f t="shared" si="5"/>
        <v>2220</v>
      </c>
      <c r="G70" s="19">
        <f t="shared" si="6"/>
        <v>14369</v>
      </c>
    </row>
    <row r="71">
      <c r="A71" s="12">
        <v>20.0</v>
      </c>
      <c r="B71" s="12" t="s">
        <v>67</v>
      </c>
      <c r="C71" s="13" t="s">
        <v>125</v>
      </c>
      <c r="D71" s="14">
        <v>607.0</v>
      </c>
      <c r="E71" s="16"/>
      <c r="F71" s="14">
        <f t="shared" si="5"/>
        <v>607</v>
      </c>
      <c r="G71" s="19">
        <f t="shared" si="6"/>
        <v>14976</v>
      </c>
    </row>
    <row r="72">
      <c r="A72" s="12">
        <v>21.0</v>
      </c>
      <c r="B72" s="12" t="s">
        <v>67</v>
      </c>
      <c r="C72" s="13" t="s">
        <v>125</v>
      </c>
      <c r="D72" s="14">
        <v>636.0</v>
      </c>
      <c r="E72" s="16"/>
      <c r="F72" s="14">
        <f t="shared" si="5"/>
        <v>636</v>
      </c>
      <c r="G72" s="19">
        <f t="shared" si="6"/>
        <v>15612</v>
      </c>
    </row>
    <row r="73">
      <c r="A73" s="12">
        <v>22.0</v>
      </c>
      <c r="B73" s="12" t="s">
        <v>60</v>
      </c>
      <c r="C73" s="13" t="s">
        <v>117</v>
      </c>
      <c r="D73" s="14">
        <v>523.0</v>
      </c>
      <c r="E73" s="16"/>
      <c r="F73" s="14">
        <f t="shared" si="5"/>
        <v>523</v>
      </c>
      <c r="G73" s="19">
        <f t="shared" si="6"/>
        <v>16135</v>
      </c>
    </row>
    <row r="74">
      <c r="A74" s="12">
        <v>23.0</v>
      </c>
      <c r="B74" s="12" t="s">
        <v>60</v>
      </c>
      <c r="C74" s="13" t="s">
        <v>117</v>
      </c>
      <c r="D74" s="14">
        <v>550.0</v>
      </c>
      <c r="E74" s="16"/>
      <c r="F74" s="14">
        <f t="shared" si="5"/>
        <v>550</v>
      </c>
      <c r="G74" s="19">
        <f t="shared" si="6"/>
        <v>16685</v>
      </c>
    </row>
    <row r="75">
      <c r="A75" s="12">
        <v>24.0</v>
      </c>
      <c r="B75" s="12" t="s">
        <v>60</v>
      </c>
      <c r="C75" s="13" t="s">
        <v>117</v>
      </c>
      <c r="D75" s="14">
        <v>578.0</v>
      </c>
      <c r="E75" s="16"/>
      <c r="F75" s="14">
        <f t="shared" si="5"/>
        <v>578</v>
      </c>
      <c r="G75" s="19">
        <f t="shared" si="6"/>
        <v>17263</v>
      </c>
    </row>
    <row r="76">
      <c r="A76" s="12">
        <v>25.0</v>
      </c>
      <c r="B76" s="12" t="s">
        <v>60</v>
      </c>
      <c r="C76" s="13" t="s">
        <v>117</v>
      </c>
      <c r="D76" s="14">
        <v>607.0</v>
      </c>
      <c r="E76" s="16"/>
      <c r="F76" s="14">
        <f t="shared" si="5"/>
        <v>607</v>
      </c>
      <c r="G76" s="19">
        <f t="shared" si="6"/>
        <v>17870</v>
      </c>
    </row>
    <row r="77">
      <c r="A77" s="12">
        <v>26.0</v>
      </c>
      <c r="B77" s="12" t="s">
        <v>60</v>
      </c>
      <c r="C77" s="13" t="s">
        <v>117</v>
      </c>
      <c r="D77" s="14">
        <v>607.0</v>
      </c>
      <c r="E77" s="16"/>
      <c r="F77" s="14">
        <f t="shared" si="5"/>
        <v>607</v>
      </c>
      <c r="G77" s="19">
        <f t="shared" si="6"/>
        <v>18477</v>
      </c>
    </row>
    <row r="78">
      <c r="A78" s="12">
        <v>27.0</v>
      </c>
      <c r="B78" s="12" t="s">
        <v>60</v>
      </c>
      <c r="C78" s="13" t="s">
        <v>117</v>
      </c>
      <c r="D78" s="14">
        <v>636.0</v>
      </c>
      <c r="E78" s="16"/>
      <c r="F78" s="14">
        <f t="shared" si="5"/>
        <v>636</v>
      </c>
      <c r="G78" s="19">
        <f t="shared" si="6"/>
        <v>19113</v>
      </c>
    </row>
    <row r="79">
      <c r="A79" s="12">
        <v>28.0</v>
      </c>
      <c r="B79" s="12" t="s">
        <v>75</v>
      </c>
      <c r="C79" s="13" t="s">
        <v>111</v>
      </c>
      <c r="D79" s="14">
        <v>669.0</v>
      </c>
      <c r="E79" s="16"/>
      <c r="F79" s="14">
        <f t="shared" si="5"/>
        <v>669</v>
      </c>
      <c r="G79" s="19">
        <f t="shared" si="6"/>
        <v>19782</v>
      </c>
    </row>
    <row r="80">
      <c r="A80" s="12">
        <v>29.0</v>
      </c>
      <c r="B80" s="12" t="s">
        <v>311</v>
      </c>
      <c r="C80" s="23" t="s">
        <v>406</v>
      </c>
      <c r="D80" s="14">
        <v>3009.0</v>
      </c>
      <c r="E80" s="16"/>
      <c r="F80" s="14">
        <f t="shared" si="5"/>
        <v>3009</v>
      </c>
      <c r="G80" s="19">
        <f t="shared" si="6"/>
        <v>22791</v>
      </c>
    </row>
    <row r="81">
      <c r="A81" s="24"/>
      <c r="B81" s="24"/>
      <c r="C81" s="26"/>
      <c r="D81" s="27">
        <v>31.0</v>
      </c>
      <c r="E81" s="28"/>
      <c r="F81" s="27">
        <f>SUM(F52:F80)</f>
        <v>22791</v>
      </c>
      <c r="G81" s="29">
        <f>G80</f>
        <v>22791</v>
      </c>
    </row>
    <row r="82">
      <c r="C82" s="30"/>
      <c r="G82" s="30"/>
    </row>
    <row r="83">
      <c r="A83" s="4" t="s">
        <v>396</v>
      </c>
      <c r="B83" s="5"/>
      <c r="C83" s="5"/>
      <c r="D83" s="5"/>
      <c r="E83" s="5"/>
      <c r="F83" s="5"/>
      <c r="G83" s="6"/>
    </row>
    <row r="84">
      <c r="A84" s="7"/>
      <c r="B84" s="8"/>
      <c r="C84" s="8"/>
      <c r="D84" s="8"/>
      <c r="E84" s="8"/>
      <c r="F84" s="8"/>
      <c r="G84" s="9"/>
    </row>
    <row r="85">
      <c r="A85" s="10"/>
      <c r="B85" s="10" t="s">
        <v>6</v>
      </c>
      <c r="C85" s="11" t="s">
        <v>7</v>
      </c>
      <c r="D85" s="10" t="s">
        <v>8</v>
      </c>
      <c r="E85" s="10" t="s">
        <v>9</v>
      </c>
      <c r="F85" s="10" t="s">
        <v>10</v>
      </c>
      <c r="G85" s="11" t="s">
        <v>11</v>
      </c>
    </row>
    <row r="86">
      <c r="A86" s="12">
        <v>1.0</v>
      </c>
      <c r="B86" s="12" t="s">
        <v>106</v>
      </c>
      <c r="C86" s="13" t="s">
        <v>133</v>
      </c>
      <c r="D86" s="14">
        <v>614.0</v>
      </c>
      <c r="E86" s="16"/>
      <c r="F86" s="14">
        <f t="shared" ref="F86:F118" si="7">SUM(D86:E86)</f>
        <v>614</v>
      </c>
      <c r="G86" s="19">
        <f>F86</f>
        <v>614</v>
      </c>
    </row>
    <row r="87">
      <c r="A87" s="12">
        <v>2.0</v>
      </c>
      <c r="B87" s="12" t="s">
        <v>106</v>
      </c>
      <c r="C87" s="13" t="s">
        <v>133</v>
      </c>
      <c r="D87" s="14">
        <v>645.0</v>
      </c>
      <c r="E87" s="16"/>
      <c r="F87" s="14">
        <f t="shared" si="7"/>
        <v>645</v>
      </c>
      <c r="G87" s="19">
        <f t="shared" ref="G87:G118" si="8">G86+F87</f>
        <v>1259</v>
      </c>
    </row>
    <row r="88">
      <c r="A88" s="12">
        <v>3.0</v>
      </c>
      <c r="B88" s="12" t="s">
        <v>106</v>
      </c>
      <c r="C88" s="13" t="s">
        <v>133</v>
      </c>
      <c r="D88" s="14">
        <v>677.0</v>
      </c>
      <c r="E88" s="16"/>
      <c r="F88" s="14">
        <f t="shared" si="7"/>
        <v>677</v>
      </c>
      <c r="G88" s="19">
        <f t="shared" si="8"/>
        <v>1936</v>
      </c>
    </row>
    <row r="89">
      <c r="A89" s="12">
        <v>4.0</v>
      </c>
      <c r="B89" s="12" t="s">
        <v>106</v>
      </c>
      <c r="C89" s="13" t="s">
        <v>133</v>
      </c>
      <c r="D89" s="14">
        <v>677.0</v>
      </c>
      <c r="E89" s="16"/>
      <c r="F89" s="14">
        <f t="shared" si="7"/>
        <v>677</v>
      </c>
      <c r="G89" s="19">
        <f t="shared" si="8"/>
        <v>2613</v>
      </c>
    </row>
    <row r="90">
      <c r="A90" s="12">
        <v>5.0</v>
      </c>
      <c r="B90" s="12" t="s">
        <v>106</v>
      </c>
      <c r="C90" s="13" t="s">
        <v>133</v>
      </c>
      <c r="D90" s="14">
        <v>645.0</v>
      </c>
      <c r="E90" s="16"/>
      <c r="F90" s="14">
        <f t="shared" si="7"/>
        <v>645</v>
      </c>
      <c r="G90" s="19">
        <f t="shared" si="8"/>
        <v>3258</v>
      </c>
    </row>
    <row r="91">
      <c r="A91" s="12">
        <v>6.0</v>
      </c>
      <c r="B91" s="12" t="s">
        <v>47</v>
      </c>
      <c r="C91" s="13" t="s">
        <v>81</v>
      </c>
      <c r="D91" s="14">
        <v>677.0</v>
      </c>
      <c r="E91" s="16"/>
      <c r="F91" s="14">
        <f t="shared" si="7"/>
        <v>677</v>
      </c>
      <c r="G91" s="19">
        <f t="shared" si="8"/>
        <v>3935</v>
      </c>
    </row>
    <row r="92">
      <c r="A92" s="12">
        <v>7.0</v>
      </c>
      <c r="B92" s="12" t="s">
        <v>47</v>
      </c>
      <c r="C92" s="13" t="s">
        <v>81</v>
      </c>
      <c r="D92" s="14">
        <v>677.0</v>
      </c>
      <c r="E92" s="16"/>
      <c r="F92" s="14">
        <f t="shared" si="7"/>
        <v>677</v>
      </c>
      <c r="G92" s="19">
        <f t="shared" si="8"/>
        <v>4612</v>
      </c>
    </row>
    <row r="93">
      <c r="A93" s="12">
        <v>8.0</v>
      </c>
      <c r="B93" s="12" t="s">
        <v>22</v>
      </c>
      <c r="C93" s="13" t="s">
        <v>410</v>
      </c>
      <c r="D93" s="14">
        <v>1209.0</v>
      </c>
      <c r="E93" s="14">
        <v>1269.0</v>
      </c>
      <c r="F93" s="14">
        <f t="shared" si="7"/>
        <v>2478</v>
      </c>
      <c r="G93" s="19">
        <f t="shared" si="8"/>
        <v>7090</v>
      </c>
    </row>
    <row r="94">
      <c r="A94" s="12">
        <v>9.0</v>
      </c>
      <c r="B94" s="12" t="s">
        <v>93</v>
      </c>
      <c r="C94" s="13" t="s">
        <v>136</v>
      </c>
      <c r="D94" s="14">
        <v>614.0</v>
      </c>
      <c r="E94" s="16"/>
      <c r="F94" s="14">
        <f t="shared" si="7"/>
        <v>614</v>
      </c>
      <c r="G94" s="19">
        <f t="shared" si="8"/>
        <v>7704</v>
      </c>
    </row>
    <row r="95">
      <c r="A95" s="12">
        <v>10.0</v>
      </c>
      <c r="B95" s="12" t="s">
        <v>93</v>
      </c>
      <c r="C95" s="13" t="s">
        <v>136</v>
      </c>
      <c r="D95" s="14">
        <v>645.0</v>
      </c>
      <c r="E95" s="16"/>
      <c r="F95" s="14">
        <f t="shared" si="7"/>
        <v>645</v>
      </c>
      <c r="G95" s="19">
        <f t="shared" si="8"/>
        <v>8349</v>
      </c>
    </row>
    <row r="96">
      <c r="A96" s="12">
        <v>11.0</v>
      </c>
      <c r="B96" s="12" t="s">
        <v>93</v>
      </c>
      <c r="C96" s="13" t="s">
        <v>136</v>
      </c>
      <c r="D96" s="14">
        <v>677.0</v>
      </c>
      <c r="E96" s="16"/>
      <c r="F96" s="14">
        <f t="shared" si="7"/>
        <v>677</v>
      </c>
      <c r="G96" s="19">
        <f t="shared" si="8"/>
        <v>9026</v>
      </c>
    </row>
    <row r="97">
      <c r="A97" s="12">
        <v>12.0</v>
      </c>
      <c r="B97" s="12" t="s">
        <v>93</v>
      </c>
      <c r="C97" s="13" t="s">
        <v>136</v>
      </c>
      <c r="D97" s="14">
        <v>677.0</v>
      </c>
      <c r="E97" s="16"/>
      <c r="F97" s="14">
        <f t="shared" si="7"/>
        <v>677</v>
      </c>
      <c r="G97" s="19">
        <f t="shared" si="8"/>
        <v>9703</v>
      </c>
    </row>
    <row r="98">
      <c r="A98" s="12">
        <v>13.0</v>
      </c>
      <c r="B98" s="12" t="s">
        <v>93</v>
      </c>
      <c r="C98" s="13" t="s">
        <v>136</v>
      </c>
      <c r="D98" s="14">
        <v>645.0</v>
      </c>
      <c r="E98" s="16"/>
      <c r="F98" s="14">
        <f t="shared" si="7"/>
        <v>645</v>
      </c>
      <c r="G98" s="19">
        <f t="shared" si="8"/>
        <v>10348</v>
      </c>
    </row>
    <row r="99">
      <c r="A99" s="12">
        <v>14.0</v>
      </c>
      <c r="B99" s="12" t="s">
        <v>99</v>
      </c>
      <c r="C99" s="13" t="s">
        <v>137</v>
      </c>
      <c r="D99" s="14">
        <v>677.0</v>
      </c>
      <c r="E99" s="16"/>
      <c r="F99" s="14">
        <f t="shared" si="7"/>
        <v>677</v>
      </c>
      <c r="G99" s="19">
        <f t="shared" si="8"/>
        <v>11025</v>
      </c>
    </row>
    <row r="100">
      <c r="A100" s="12">
        <v>15.0</v>
      </c>
      <c r="B100" s="12" t="s">
        <v>99</v>
      </c>
      <c r="C100" s="13" t="s">
        <v>137</v>
      </c>
      <c r="D100" s="14">
        <v>677.0</v>
      </c>
      <c r="E100" s="16"/>
      <c r="F100" s="14">
        <f t="shared" si="7"/>
        <v>677</v>
      </c>
      <c r="G100" s="19">
        <f t="shared" si="8"/>
        <v>11702</v>
      </c>
    </row>
    <row r="101">
      <c r="A101" s="12">
        <v>16.0</v>
      </c>
      <c r="B101" s="12" t="s">
        <v>104</v>
      </c>
      <c r="C101" s="13" t="s">
        <v>132</v>
      </c>
      <c r="D101" s="14">
        <v>711.0</v>
      </c>
      <c r="E101" s="16"/>
      <c r="F101" s="14">
        <f t="shared" si="7"/>
        <v>711</v>
      </c>
      <c r="G101" s="19">
        <f t="shared" si="8"/>
        <v>12413</v>
      </c>
    </row>
    <row r="102">
      <c r="A102" s="12">
        <v>17.0</v>
      </c>
      <c r="B102" s="12" t="s">
        <v>318</v>
      </c>
      <c r="C102" s="23" t="s">
        <v>411</v>
      </c>
      <c r="D102" s="14">
        <v>3360.0</v>
      </c>
      <c r="E102" s="16"/>
      <c r="F102" s="14">
        <f t="shared" si="7"/>
        <v>3360</v>
      </c>
      <c r="G102" s="19">
        <f t="shared" si="8"/>
        <v>15773</v>
      </c>
    </row>
    <row r="103">
      <c r="A103" s="12">
        <v>18.0</v>
      </c>
      <c r="B103" s="12" t="s">
        <v>47</v>
      </c>
      <c r="C103" s="13" t="s">
        <v>81</v>
      </c>
      <c r="D103" s="14">
        <v>614.0</v>
      </c>
      <c r="E103" s="16"/>
      <c r="F103" s="14">
        <f t="shared" si="7"/>
        <v>614</v>
      </c>
      <c r="G103" s="19">
        <f t="shared" si="8"/>
        <v>16387</v>
      </c>
    </row>
    <row r="104">
      <c r="A104" s="12">
        <v>19.0</v>
      </c>
      <c r="B104" s="12" t="s">
        <v>47</v>
      </c>
      <c r="C104" s="13" t="s">
        <v>81</v>
      </c>
      <c r="D104" s="14">
        <v>645.0</v>
      </c>
      <c r="E104" s="16"/>
      <c r="F104" s="14">
        <f t="shared" si="7"/>
        <v>645</v>
      </c>
      <c r="G104" s="19">
        <f t="shared" si="8"/>
        <v>17032</v>
      </c>
    </row>
    <row r="105">
      <c r="A105" s="12">
        <v>20.0</v>
      </c>
      <c r="B105" s="12" t="s">
        <v>47</v>
      </c>
      <c r="C105" s="13" t="s">
        <v>81</v>
      </c>
      <c r="D105" s="14">
        <v>677.0</v>
      </c>
      <c r="E105" s="16"/>
      <c r="F105" s="14">
        <f t="shared" si="7"/>
        <v>677</v>
      </c>
      <c r="G105" s="19">
        <f t="shared" si="8"/>
        <v>17709</v>
      </c>
    </row>
    <row r="106">
      <c r="A106" s="12">
        <v>21.0</v>
      </c>
      <c r="B106" s="12" t="s">
        <v>51</v>
      </c>
      <c r="C106" s="13" t="s">
        <v>69</v>
      </c>
      <c r="D106" s="14">
        <v>677.0</v>
      </c>
      <c r="E106" s="16"/>
      <c r="F106" s="14">
        <f t="shared" si="7"/>
        <v>677</v>
      </c>
      <c r="G106" s="19">
        <f t="shared" si="8"/>
        <v>18386</v>
      </c>
    </row>
    <row r="107">
      <c r="A107" s="12">
        <v>22.0</v>
      </c>
      <c r="B107" s="12" t="s">
        <v>51</v>
      </c>
      <c r="C107" s="13" t="s">
        <v>69</v>
      </c>
      <c r="D107" s="14">
        <v>645.0</v>
      </c>
      <c r="E107" s="16"/>
      <c r="F107" s="14">
        <f t="shared" si="7"/>
        <v>645</v>
      </c>
      <c r="G107" s="19">
        <f t="shared" si="8"/>
        <v>19031</v>
      </c>
    </row>
    <row r="108">
      <c r="A108" s="12">
        <v>23.0</v>
      </c>
      <c r="B108" s="12" t="s">
        <v>51</v>
      </c>
      <c r="C108" s="13" t="s">
        <v>69</v>
      </c>
      <c r="D108" s="14">
        <v>677.0</v>
      </c>
      <c r="E108" s="16"/>
      <c r="F108" s="14">
        <f t="shared" si="7"/>
        <v>677</v>
      </c>
      <c r="G108" s="19">
        <f t="shared" si="8"/>
        <v>19708</v>
      </c>
    </row>
    <row r="109">
      <c r="A109" s="12">
        <v>24.0</v>
      </c>
      <c r="B109" s="12" t="s">
        <v>51</v>
      </c>
      <c r="C109" s="13" t="s">
        <v>69</v>
      </c>
      <c r="D109" s="14">
        <v>677.0</v>
      </c>
      <c r="E109" s="16"/>
      <c r="F109" s="14">
        <f t="shared" si="7"/>
        <v>677</v>
      </c>
      <c r="G109" s="19">
        <f t="shared" si="8"/>
        <v>20385</v>
      </c>
    </row>
    <row r="110">
      <c r="A110" s="12">
        <v>25.0</v>
      </c>
      <c r="B110" s="12" t="s">
        <v>51</v>
      </c>
      <c r="C110" s="13" t="s">
        <v>69</v>
      </c>
      <c r="D110" s="14">
        <v>711.0</v>
      </c>
      <c r="E110" s="16"/>
      <c r="F110" s="14">
        <f t="shared" si="7"/>
        <v>711</v>
      </c>
      <c r="G110" s="19">
        <f t="shared" si="8"/>
        <v>21096</v>
      </c>
    </row>
    <row r="111">
      <c r="A111" s="12">
        <v>26.0</v>
      </c>
      <c r="B111" s="12" t="s">
        <v>99</v>
      </c>
      <c r="C111" s="13" t="s">
        <v>137</v>
      </c>
      <c r="D111" s="14">
        <v>614.0</v>
      </c>
      <c r="E111" s="16"/>
      <c r="F111" s="14">
        <f t="shared" si="7"/>
        <v>614</v>
      </c>
      <c r="G111" s="19">
        <f t="shared" si="8"/>
        <v>21710</v>
      </c>
    </row>
    <row r="112">
      <c r="A112" s="12">
        <v>27.0</v>
      </c>
      <c r="B112" s="12" t="s">
        <v>99</v>
      </c>
      <c r="C112" s="13" t="s">
        <v>137</v>
      </c>
      <c r="D112" s="14">
        <v>645.0</v>
      </c>
      <c r="E112" s="16"/>
      <c r="F112" s="14">
        <f t="shared" si="7"/>
        <v>645</v>
      </c>
      <c r="G112" s="19">
        <f t="shared" si="8"/>
        <v>22355</v>
      </c>
    </row>
    <row r="113">
      <c r="A113" s="12">
        <v>28.0</v>
      </c>
      <c r="B113" s="12" t="s">
        <v>99</v>
      </c>
      <c r="C113" s="13" t="s">
        <v>137</v>
      </c>
      <c r="D113" s="14">
        <v>677.0</v>
      </c>
      <c r="E113" s="16"/>
      <c r="F113" s="14">
        <f t="shared" si="7"/>
        <v>677</v>
      </c>
      <c r="G113" s="19">
        <f t="shared" si="8"/>
        <v>23032</v>
      </c>
    </row>
    <row r="114">
      <c r="A114" s="12">
        <v>29.0</v>
      </c>
      <c r="B114" s="12" t="s">
        <v>104</v>
      </c>
      <c r="C114" s="13" t="s">
        <v>132</v>
      </c>
      <c r="D114" s="14">
        <v>677.0</v>
      </c>
      <c r="E114" s="16"/>
      <c r="F114" s="14">
        <f t="shared" si="7"/>
        <v>677</v>
      </c>
      <c r="G114" s="19">
        <f t="shared" si="8"/>
        <v>23709</v>
      </c>
    </row>
    <row r="115">
      <c r="A115" s="12">
        <v>30.0</v>
      </c>
      <c r="B115" s="12" t="s">
        <v>104</v>
      </c>
      <c r="C115" s="13" t="s">
        <v>132</v>
      </c>
      <c r="D115" s="14">
        <v>645.0</v>
      </c>
      <c r="E115" s="16"/>
      <c r="F115" s="14">
        <f t="shared" si="7"/>
        <v>645</v>
      </c>
      <c r="G115" s="19">
        <f t="shared" si="8"/>
        <v>24354</v>
      </c>
    </row>
    <row r="116">
      <c r="A116" s="12">
        <v>31.0</v>
      </c>
      <c r="B116" s="12" t="s">
        <v>104</v>
      </c>
      <c r="C116" s="13" t="s">
        <v>132</v>
      </c>
      <c r="D116" s="14">
        <v>677.0</v>
      </c>
      <c r="E116" s="16"/>
      <c r="F116" s="14">
        <f t="shared" si="7"/>
        <v>677</v>
      </c>
      <c r="G116" s="19">
        <f t="shared" si="8"/>
        <v>25031</v>
      </c>
    </row>
    <row r="117">
      <c r="A117" s="12">
        <v>32.0</v>
      </c>
      <c r="B117" s="12" t="s">
        <v>104</v>
      </c>
      <c r="C117" s="13" t="s">
        <v>132</v>
      </c>
      <c r="D117" s="14">
        <v>677.0</v>
      </c>
      <c r="E117" s="16"/>
      <c r="F117" s="14">
        <f t="shared" si="7"/>
        <v>677</v>
      </c>
      <c r="G117" s="19">
        <f t="shared" si="8"/>
        <v>25708</v>
      </c>
    </row>
    <row r="118">
      <c r="A118" s="12">
        <v>33.0</v>
      </c>
      <c r="B118" s="12" t="s">
        <v>22</v>
      </c>
      <c r="C118" s="13" t="s">
        <v>410</v>
      </c>
      <c r="D118" s="14">
        <v>1209.0</v>
      </c>
      <c r="E118" s="14">
        <v>1269.0</v>
      </c>
      <c r="F118" s="14">
        <f t="shared" si="7"/>
        <v>2478</v>
      </c>
      <c r="G118" s="19">
        <f t="shared" si="8"/>
        <v>28186</v>
      </c>
    </row>
    <row r="119">
      <c r="A119" s="24"/>
      <c r="B119" s="24"/>
      <c r="C119" s="26"/>
      <c r="D119" s="27">
        <v>35.0</v>
      </c>
      <c r="E119" s="28"/>
      <c r="F119" s="27">
        <f>SUM(F86:F118)</f>
        <v>28186</v>
      </c>
      <c r="G119" s="29">
        <f>G118</f>
        <v>28186</v>
      </c>
    </row>
  </sheetData>
  <mergeCells count="4">
    <mergeCell ref="A1:G2"/>
    <mergeCell ref="A20:G21"/>
    <mergeCell ref="A49:G50"/>
    <mergeCell ref="A83:G84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9.43"/>
    <col customWidth="1" min="3" max="3" width="56.86"/>
    <col customWidth="1" min="4" max="5" width="7.14"/>
    <col customWidth="1" min="6" max="6" width="7.0"/>
    <col customWidth="1" min="7" max="7" width="8.57"/>
  </cols>
  <sheetData>
    <row r="1">
      <c r="A1" s="4" t="s">
        <v>172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25</v>
      </c>
      <c r="C4" s="13" t="s">
        <v>26</v>
      </c>
      <c r="D4" s="14">
        <v>165.0</v>
      </c>
      <c r="E4" s="16"/>
      <c r="F4" s="14">
        <f t="shared" ref="F4:F17" si="1">SUM(D4:E4)</f>
        <v>165</v>
      </c>
      <c r="G4" s="19">
        <f>F4</f>
        <v>165</v>
      </c>
    </row>
    <row r="5">
      <c r="A5" s="12">
        <v>2.0</v>
      </c>
      <c r="B5" s="12" t="s">
        <v>12</v>
      </c>
      <c r="C5" s="13" t="s">
        <v>13</v>
      </c>
      <c r="D5" s="14">
        <v>165.0</v>
      </c>
      <c r="E5" s="16"/>
      <c r="F5" s="14">
        <f t="shared" si="1"/>
        <v>165</v>
      </c>
      <c r="G5" s="19">
        <f t="shared" ref="G5:G17" si="2">G4+F5</f>
        <v>330</v>
      </c>
    </row>
    <row r="6">
      <c r="A6" s="12">
        <v>3.0</v>
      </c>
      <c r="B6" s="12" t="s">
        <v>22</v>
      </c>
      <c r="C6" s="13" t="s">
        <v>385</v>
      </c>
      <c r="D6" s="14">
        <v>294.0</v>
      </c>
      <c r="E6" s="14">
        <v>309.0</v>
      </c>
      <c r="F6" s="14">
        <f t="shared" si="1"/>
        <v>603</v>
      </c>
      <c r="G6" s="19">
        <f t="shared" si="2"/>
        <v>933</v>
      </c>
    </row>
    <row r="7">
      <c r="A7" s="12">
        <v>4.0</v>
      </c>
      <c r="B7" s="12" t="s">
        <v>25</v>
      </c>
      <c r="C7" s="13" t="s">
        <v>26</v>
      </c>
      <c r="D7" s="14">
        <v>183.0</v>
      </c>
      <c r="E7" s="16"/>
      <c r="F7" s="14">
        <f t="shared" si="1"/>
        <v>183</v>
      </c>
      <c r="G7" s="19">
        <f t="shared" si="2"/>
        <v>1116</v>
      </c>
    </row>
    <row r="8">
      <c r="A8" s="12">
        <v>5.0</v>
      </c>
      <c r="B8" s="12" t="s">
        <v>25</v>
      </c>
      <c r="C8" s="13" t="s">
        <v>26</v>
      </c>
      <c r="D8" s="14">
        <v>191.0</v>
      </c>
      <c r="E8" s="16"/>
      <c r="F8" s="14">
        <f t="shared" si="1"/>
        <v>191</v>
      </c>
      <c r="G8" s="19">
        <f t="shared" si="2"/>
        <v>1307</v>
      </c>
    </row>
    <row r="9">
      <c r="A9" s="12">
        <v>6.0</v>
      </c>
      <c r="B9" s="12" t="s">
        <v>25</v>
      </c>
      <c r="C9" s="13" t="s">
        <v>26</v>
      </c>
      <c r="D9" s="14">
        <v>200.0</v>
      </c>
      <c r="E9" s="16"/>
      <c r="F9" s="14">
        <f t="shared" si="1"/>
        <v>200</v>
      </c>
      <c r="G9" s="19">
        <f t="shared" si="2"/>
        <v>1507</v>
      </c>
    </row>
    <row r="10">
      <c r="A10" s="12">
        <v>7.0</v>
      </c>
      <c r="B10" s="12" t="s">
        <v>25</v>
      </c>
      <c r="C10" s="13" t="s">
        <v>26</v>
      </c>
      <c r="D10" s="14">
        <v>210.0</v>
      </c>
      <c r="E10" s="16"/>
      <c r="F10" s="14">
        <f t="shared" si="1"/>
        <v>210</v>
      </c>
      <c r="G10" s="19">
        <f t="shared" si="2"/>
        <v>1717</v>
      </c>
    </row>
    <row r="11">
      <c r="A11" s="12">
        <v>8.0</v>
      </c>
      <c r="B11" s="12" t="s">
        <v>28</v>
      </c>
      <c r="C11" s="13" t="s">
        <v>29</v>
      </c>
      <c r="D11" s="14">
        <v>221.0</v>
      </c>
      <c r="E11" s="14">
        <v>221.0</v>
      </c>
      <c r="F11" s="14">
        <f t="shared" si="1"/>
        <v>442</v>
      </c>
      <c r="G11" s="19">
        <f t="shared" si="2"/>
        <v>2159</v>
      </c>
    </row>
    <row r="12">
      <c r="A12" s="12">
        <v>9.0</v>
      </c>
      <c r="B12" s="12" t="s">
        <v>12</v>
      </c>
      <c r="C12" s="13" t="s">
        <v>13</v>
      </c>
      <c r="D12" s="14">
        <v>183.0</v>
      </c>
      <c r="E12" s="16"/>
      <c r="F12" s="14">
        <f t="shared" si="1"/>
        <v>183</v>
      </c>
      <c r="G12" s="19">
        <f t="shared" si="2"/>
        <v>2342</v>
      </c>
    </row>
    <row r="13">
      <c r="A13" s="12">
        <v>10.0</v>
      </c>
      <c r="B13" s="12" t="s">
        <v>12</v>
      </c>
      <c r="C13" s="13" t="s">
        <v>13</v>
      </c>
      <c r="D13" s="14">
        <v>191.0</v>
      </c>
      <c r="E13" s="16"/>
      <c r="F13" s="14">
        <f t="shared" si="1"/>
        <v>191</v>
      </c>
      <c r="G13" s="19">
        <f t="shared" si="2"/>
        <v>2533</v>
      </c>
    </row>
    <row r="14">
      <c r="A14" s="12">
        <v>11.0</v>
      </c>
      <c r="B14" s="12" t="s">
        <v>12</v>
      </c>
      <c r="C14" s="13" t="s">
        <v>13</v>
      </c>
      <c r="D14" s="14">
        <v>200.0</v>
      </c>
      <c r="E14" s="16"/>
      <c r="F14" s="14">
        <f t="shared" si="1"/>
        <v>200</v>
      </c>
      <c r="G14" s="19">
        <f t="shared" si="2"/>
        <v>2733</v>
      </c>
    </row>
    <row r="15">
      <c r="A15" s="12">
        <v>12.0</v>
      </c>
      <c r="B15" s="12" t="s">
        <v>12</v>
      </c>
      <c r="C15" s="13" t="s">
        <v>13</v>
      </c>
      <c r="D15" s="14">
        <v>210.0</v>
      </c>
      <c r="E15" s="16"/>
      <c r="F15" s="14">
        <f t="shared" si="1"/>
        <v>210</v>
      </c>
      <c r="G15" s="19">
        <f t="shared" si="2"/>
        <v>2943</v>
      </c>
    </row>
    <row r="16">
      <c r="A16" s="12">
        <v>13.0</v>
      </c>
      <c r="B16" s="12" t="s">
        <v>281</v>
      </c>
      <c r="C16" s="13" t="s">
        <v>299</v>
      </c>
      <c r="D16" s="14">
        <v>221.0</v>
      </c>
      <c r="E16" s="14">
        <v>221.0</v>
      </c>
      <c r="F16" s="14">
        <f t="shared" si="1"/>
        <v>442</v>
      </c>
      <c r="G16" s="19">
        <f t="shared" si="2"/>
        <v>3385</v>
      </c>
    </row>
    <row r="17">
      <c r="A17" s="12">
        <v>14.0</v>
      </c>
      <c r="B17" s="12" t="s">
        <v>287</v>
      </c>
      <c r="C17" s="23" t="s">
        <v>288</v>
      </c>
      <c r="D17" s="14">
        <v>1046.0</v>
      </c>
      <c r="E17" s="16"/>
      <c r="F17" s="14">
        <f t="shared" si="1"/>
        <v>1046</v>
      </c>
      <c r="G17" s="19">
        <f t="shared" si="2"/>
        <v>4431</v>
      </c>
    </row>
    <row r="18">
      <c r="A18" s="24"/>
      <c r="B18" s="24"/>
      <c r="C18" s="26"/>
      <c r="D18" s="27">
        <v>17.0</v>
      </c>
      <c r="E18" s="28"/>
      <c r="F18" s="27">
        <f>SUM(F4:F17)</f>
        <v>4431</v>
      </c>
      <c r="G18" s="29">
        <f>G17</f>
        <v>4431</v>
      </c>
    </row>
    <row r="19">
      <c r="C19" s="30"/>
      <c r="G19" s="30"/>
    </row>
    <row r="20">
      <c r="A20" s="4" t="s">
        <v>361</v>
      </c>
      <c r="B20" s="5"/>
      <c r="C20" s="5"/>
      <c r="D20" s="5"/>
      <c r="E20" s="5"/>
      <c r="F20" s="5"/>
      <c r="G20" s="6"/>
    </row>
    <row r="21">
      <c r="A21" s="7"/>
      <c r="B21" s="8"/>
      <c r="C21" s="8"/>
      <c r="D21" s="8"/>
      <c r="E21" s="8"/>
      <c r="F21" s="8"/>
      <c r="G21" s="9"/>
    </row>
    <row r="22">
      <c r="A22" s="10"/>
      <c r="B22" s="10" t="s">
        <v>6</v>
      </c>
      <c r="C22" s="11" t="s">
        <v>7</v>
      </c>
      <c r="D22" s="10" t="s">
        <v>8</v>
      </c>
      <c r="E22" s="10" t="s">
        <v>9</v>
      </c>
      <c r="F22" s="10" t="s">
        <v>10</v>
      </c>
      <c r="G22" s="11" t="s">
        <v>11</v>
      </c>
    </row>
    <row r="23">
      <c r="A23" s="12">
        <v>1.0</v>
      </c>
      <c r="B23" s="12" t="s">
        <v>40</v>
      </c>
      <c r="C23" s="13" t="s">
        <v>41</v>
      </c>
      <c r="D23" s="14">
        <v>394.0</v>
      </c>
      <c r="E23" s="16"/>
      <c r="F23" s="14">
        <f t="shared" ref="F23:F46" si="3">SUM(D23:E23)</f>
        <v>394</v>
      </c>
      <c r="G23" s="19">
        <f>F23</f>
        <v>394</v>
      </c>
    </row>
    <row r="24">
      <c r="A24" s="12">
        <v>2.0</v>
      </c>
      <c r="B24" s="12" t="s">
        <v>40</v>
      </c>
      <c r="C24" s="13" t="s">
        <v>41</v>
      </c>
      <c r="D24" s="14">
        <v>413.0</v>
      </c>
      <c r="E24" s="16"/>
      <c r="F24" s="14">
        <f t="shared" si="3"/>
        <v>413</v>
      </c>
      <c r="G24" s="19">
        <f t="shared" ref="G24:G46" si="4">G23+F24</f>
        <v>807</v>
      </c>
    </row>
    <row r="25">
      <c r="A25" s="12">
        <v>3.0</v>
      </c>
      <c r="B25" s="12" t="s">
        <v>40</v>
      </c>
      <c r="C25" s="13" t="s">
        <v>41</v>
      </c>
      <c r="D25" s="14">
        <v>434.0</v>
      </c>
      <c r="E25" s="16"/>
      <c r="F25" s="14">
        <f t="shared" si="3"/>
        <v>434</v>
      </c>
      <c r="G25" s="19">
        <f t="shared" si="4"/>
        <v>1241</v>
      </c>
    </row>
    <row r="26">
      <c r="A26" s="12">
        <v>4.0</v>
      </c>
      <c r="B26" s="12" t="s">
        <v>43</v>
      </c>
      <c r="C26" s="13" t="s">
        <v>44</v>
      </c>
      <c r="D26" s="14">
        <v>394.0</v>
      </c>
      <c r="E26" s="16"/>
      <c r="F26" s="14">
        <f t="shared" si="3"/>
        <v>394</v>
      </c>
      <c r="G26" s="19">
        <f t="shared" si="4"/>
        <v>1635</v>
      </c>
    </row>
    <row r="27">
      <c r="A27" s="12">
        <v>5.0</v>
      </c>
      <c r="B27" s="12" t="s">
        <v>43</v>
      </c>
      <c r="C27" s="13" t="s">
        <v>44</v>
      </c>
      <c r="D27" s="14">
        <v>413.0</v>
      </c>
      <c r="E27" s="16"/>
      <c r="F27" s="14">
        <f t="shared" si="3"/>
        <v>413</v>
      </c>
      <c r="G27" s="19">
        <f t="shared" si="4"/>
        <v>2048</v>
      </c>
    </row>
    <row r="28">
      <c r="A28" s="12">
        <v>6.0</v>
      </c>
      <c r="B28" s="12" t="s">
        <v>43</v>
      </c>
      <c r="C28" s="13" t="s">
        <v>44</v>
      </c>
      <c r="D28" s="14">
        <v>434.0</v>
      </c>
      <c r="E28" s="16"/>
      <c r="F28" s="14">
        <f t="shared" si="3"/>
        <v>434</v>
      </c>
      <c r="G28" s="19">
        <f t="shared" si="4"/>
        <v>2482</v>
      </c>
    </row>
    <row r="29">
      <c r="A29" s="12">
        <v>7.0</v>
      </c>
      <c r="B29" s="12" t="s">
        <v>43</v>
      </c>
      <c r="C29" s="13" t="s">
        <v>44</v>
      </c>
      <c r="D29" s="14">
        <v>456.0</v>
      </c>
      <c r="E29" s="16"/>
      <c r="F29" s="14">
        <f t="shared" si="3"/>
        <v>456</v>
      </c>
      <c r="G29" s="19">
        <f t="shared" si="4"/>
        <v>2938</v>
      </c>
    </row>
    <row r="30">
      <c r="A30" s="12">
        <v>8.0</v>
      </c>
      <c r="B30" s="12" t="s">
        <v>45</v>
      </c>
      <c r="C30" s="13" t="s">
        <v>394</v>
      </c>
      <c r="D30" s="14">
        <v>813.0</v>
      </c>
      <c r="E30" s="14">
        <v>854.0</v>
      </c>
      <c r="F30" s="14">
        <f t="shared" si="3"/>
        <v>1667</v>
      </c>
      <c r="G30" s="19">
        <f t="shared" si="4"/>
        <v>4605</v>
      </c>
    </row>
    <row r="31">
      <c r="A31" s="12">
        <v>9.0</v>
      </c>
      <c r="B31" s="12" t="s">
        <v>40</v>
      </c>
      <c r="C31" s="13" t="s">
        <v>41</v>
      </c>
      <c r="D31" s="14">
        <v>503.0</v>
      </c>
      <c r="E31" s="16"/>
      <c r="F31" s="14">
        <f t="shared" si="3"/>
        <v>503</v>
      </c>
      <c r="G31" s="19">
        <f t="shared" si="4"/>
        <v>5108</v>
      </c>
    </row>
    <row r="32">
      <c r="A32" s="12">
        <v>10.0</v>
      </c>
      <c r="B32" s="12" t="s">
        <v>47</v>
      </c>
      <c r="C32" s="13" t="s">
        <v>48</v>
      </c>
      <c r="D32" s="14">
        <v>528.0</v>
      </c>
      <c r="E32" s="16"/>
      <c r="F32" s="14">
        <f t="shared" si="3"/>
        <v>528</v>
      </c>
      <c r="G32" s="19">
        <f t="shared" si="4"/>
        <v>5636</v>
      </c>
    </row>
    <row r="33">
      <c r="A33" s="12">
        <v>11.0</v>
      </c>
      <c r="B33" s="12" t="s">
        <v>40</v>
      </c>
      <c r="C33" s="13" t="s">
        <v>41</v>
      </c>
      <c r="D33" s="14">
        <v>554.0</v>
      </c>
      <c r="E33" s="16"/>
      <c r="F33" s="14">
        <f t="shared" si="3"/>
        <v>554</v>
      </c>
      <c r="G33" s="19">
        <f t="shared" si="4"/>
        <v>6190</v>
      </c>
    </row>
    <row r="34">
      <c r="A34" s="12">
        <v>12.0</v>
      </c>
      <c r="B34" s="12" t="s">
        <v>64</v>
      </c>
      <c r="C34" s="13" t="s">
        <v>66</v>
      </c>
      <c r="D34" s="14">
        <v>582.0</v>
      </c>
      <c r="E34" s="16"/>
      <c r="F34" s="14">
        <f t="shared" si="3"/>
        <v>582</v>
      </c>
      <c r="G34" s="19">
        <f t="shared" si="4"/>
        <v>6772</v>
      </c>
    </row>
    <row r="35">
      <c r="A35" s="12">
        <v>13.0</v>
      </c>
      <c r="B35" s="12" t="s">
        <v>40</v>
      </c>
      <c r="C35" s="13" t="s">
        <v>41</v>
      </c>
      <c r="D35" s="14">
        <v>610.0</v>
      </c>
      <c r="E35" s="16"/>
      <c r="F35" s="14">
        <f t="shared" si="3"/>
        <v>610</v>
      </c>
      <c r="G35" s="19">
        <f t="shared" si="4"/>
        <v>7382</v>
      </c>
    </row>
    <row r="36">
      <c r="A36" s="12">
        <v>14.0</v>
      </c>
      <c r="B36" s="12" t="s">
        <v>47</v>
      </c>
      <c r="C36" s="13" t="s">
        <v>48</v>
      </c>
      <c r="D36" s="14">
        <v>641.0</v>
      </c>
      <c r="E36" s="16"/>
      <c r="F36" s="14">
        <f t="shared" si="3"/>
        <v>641</v>
      </c>
      <c r="G36" s="19">
        <f t="shared" si="4"/>
        <v>8023</v>
      </c>
    </row>
    <row r="37">
      <c r="A37" s="12">
        <v>15.0</v>
      </c>
      <c r="B37" s="12" t="s">
        <v>40</v>
      </c>
      <c r="C37" s="13" t="s">
        <v>41</v>
      </c>
      <c r="D37" s="14">
        <v>673.0</v>
      </c>
      <c r="E37" s="16"/>
      <c r="F37" s="14">
        <f t="shared" si="3"/>
        <v>673</v>
      </c>
      <c r="G37" s="19">
        <f t="shared" si="4"/>
        <v>8696</v>
      </c>
    </row>
    <row r="38">
      <c r="A38" s="12">
        <v>16.0</v>
      </c>
      <c r="B38" s="12" t="s">
        <v>43</v>
      </c>
      <c r="C38" s="13" t="s">
        <v>44</v>
      </c>
      <c r="D38" s="14">
        <v>503.0</v>
      </c>
      <c r="E38" s="16"/>
      <c r="F38" s="14">
        <f t="shared" si="3"/>
        <v>503</v>
      </c>
      <c r="G38" s="19">
        <f t="shared" si="4"/>
        <v>9199</v>
      </c>
    </row>
    <row r="39">
      <c r="A39" s="12">
        <v>17.0</v>
      </c>
      <c r="B39" s="12" t="s">
        <v>51</v>
      </c>
      <c r="C39" s="13" t="s">
        <v>52</v>
      </c>
      <c r="D39" s="14">
        <v>528.0</v>
      </c>
      <c r="E39" s="16"/>
      <c r="F39" s="14">
        <f t="shared" si="3"/>
        <v>528</v>
      </c>
      <c r="G39" s="19">
        <f t="shared" si="4"/>
        <v>9727</v>
      </c>
    </row>
    <row r="40">
      <c r="A40" s="12">
        <v>18.0</v>
      </c>
      <c r="B40" s="12" t="s">
        <v>43</v>
      </c>
      <c r="C40" s="13" t="s">
        <v>44</v>
      </c>
      <c r="D40" s="14">
        <v>554.0</v>
      </c>
      <c r="E40" s="16"/>
      <c r="F40" s="14">
        <f t="shared" si="3"/>
        <v>554</v>
      </c>
      <c r="G40" s="19">
        <f t="shared" si="4"/>
        <v>10281</v>
      </c>
    </row>
    <row r="41">
      <c r="A41" s="12">
        <v>19.0</v>
      </c>
      <c r="B41" s="12" t="s">
        <v>75</v>
      </c>
      <c r="C41" s="13" t="s">
        <v>76</v>
      </c>
      <c r="D41" s="14">
        <v>582.0</v>
      </c>
      <c r="E41" s="16"/>
      <c r="F41" s="14">
        <f t="shared" si="3"/>
        <v>582</v>
      </c>
      <c r="G41" s="19">
        <f t="shared" si="4"/>
        <v>10863</v>
      </c>
    </row>
    <row r="42">
      <c r="A42" s="12">
        <v>20.0</v>
      </c>
      <c r="B42" s="12" t="s">
        <v>43</v>
      </c>
      <c r="C42" s="13" t="s">
        <v>44</v>
      </c>
      <c r="D42" s="14">
        <v>610.0</v>
      </c>
      <c r="E42" s="16"/>
      <c r="F42" s="14">
        <f t="shared" si="3"/>
        <v>610</v>
      </c>
      <c r="G42" s="19">
        <f t="shared" si="4"/>
        <v>11473</v>
      </c>
    </row>
    <row r="43">
      <c r="A43" s="12">
        <v>21.0</v>
      </c>
      <c r="B43" s="12" t="s">
        <v>51</v>
      </c>
      <c r="C43" s="13" t="s">
        <v>52</v>
      </c>
      <c r="D43" s="14">
        <v>641.0</v>
      </c>
      <c r="E43" s="16"/>
      <c r="F43" s="14">
        <f t="shared" si="3"/>
        <v>641</v>
      </c>
      <c r="G43" s="19">
        <f t="shared" si="4"/>
        <v>12114</v>
      </c>
    </row>
    <row r="44">
      <c r="A44" s="12">
        <v>22.0</v>
      </c>
      <c r="B44" s="12" t="s">
        <v>43</v>
      </c>
      <c r="C44" s="13" t="s">
        <v>44</v>
      </c>
      <c r="D44" s="14">
        <v>673.0</v>
      </c>
      <c r="E44" s="16"/>
      <c r="F44" s="14">
        <f t="shared" si="3"/>
        <v>673</v>
      </c>
      <c r="G44" s="19">
        <f t="shared" si="4"/>
        <v>12787</v>
      </c>
    </row>
    <row r="45">
      <c r="A45" s="12">
        <v>23.0</v>
      </c>
      <c r="B45" s="12" t="s">
        <v>55</v>
      </c>
      <c r="C45" s="13" t="s">
        <v>56</v>
      </c>
      <c r="D45" s="14">
        <v>3181.0</v>
      </c>
      <c r="E45" s="16"/>
      <c r="F45" s="14">
        <f t="shared" si="3"/>
        <v>3181</v>
      </c>
      <c r="G45" s="19">
        <f t="shared" si="4"/>
        <v>15968</v>
      </c>
    </row>
    <row r="46">
      <c r="A46" s="12">
        <v>24.0</v>
      </c>
      <c r="B46" s="12" t="s">
        <v>40</v>
      </c>
      <c r="C46" s="13" t="s">
        <v>41</v>
      </c>
      <c r="D46" s="14">
        <v>478.0</v>
      </c>
      <c r="E46" s="16"/>
      <c r="F46" s="14">
        <f t="shared" si="3"/>
        <v>478</v>
      </c>
      <c r="G46" s="19">
        <f t="shared" si="4"/>
        <v>16446</v>
      </c>
    </row>
    <row r="47">
      <c r="A47" s="24"/>
      <c r="B47" s="24"/>
      <c r="C47" s="26"/>
      <c r="D47" s="27">
        <v>25.0</v>
      </c>
      <c r="E47" s="28"/>
      <c r="F47" s="27">
        <f>SUM(F23:F46)</f>
        <v>16446</v>
      </c>
      <c r="G47" s="29">
        <f>G46</f>
        <v>16446</v>
      </c>
    </row>
    <row r="48">
      <c r="C48" s="30"/>
      <c r="G48" s="30"/>
    </row>
    <row r="49">
      <c r="A49" s="4" t="s">
        <v>380</v>
      </c>
      <c r="B49" s="5"/>
      <c r="C49" s="5"/>
      <c r="D49" s="5"/>
      <c r="E49" s="5"/>
      <c r="F49" s="5"/>
      <c r="G49" s="6"/>
    </row>
    <row r="50">
      <c r="A50" s="7"/>
      <c r="B50" s="8"/>
      <c r="C50" s="8"/>
      <c r="D50" s="8"/>
      <c r="E50" s="8"/>
      <c r="F50" s="8"/>
      <c r="G50" s="9"/>
    </row>
    <row r="51">
      <c r="A51" s="10"/>
      <c r="B51" s="10" t="s">
        <v>6</v>
      </c>
      <c r="C51" s="11" t="s">
        <v>7</v>
      </c>
      <c r="D51" s="10" t="s">
        <v>8</v>
      </c>
      <c r="E51" s="10" t="s">
        <v>9</v>
      </c>
      <c r="F51" s="10" t="s">
        <v>10</v>
      </c>
      <c r="G51" s="11" t="s">
        <v>11</v>
      </c>
    </row>
    <row r="52">
      <c r="A52" s="12">
        <v>1.0</v>
      </c>
      <c r="B52" s="12" t="s">
        <v>72</v>
      </c>
      <c r="C52" s="13" t="s">
        <v>73</v>
      </c>
      <c r="D52" s="14">
        <v>523.0</v>
      </c>
      <c r="E52" s="16"/>
      <c r="F52" s="14">
        <f t="shared" ref="F52:F80" si="5">SUM(D52:E52)</f>
        <v>523</v>
      </c>
      <c r="G52" s="19">
        <f>F52</f>
        <v>523</v>
      </c>
    </row>
    <row r="53">
      <c r="A53" s="12">
        <v>2.0</v>
      </c>
      <c r="B53" s="12" t="s">
        <v>72</v>
      </c>
      <c r="C53" s="13" t="s">
        <v>73</v>
      </c>
      <c r="D53" s="14">
        <v>550.0</v>
      </c>
      <c r="E53" s="16"/>
      <c r="F53" s="14">
        <f t="shared" si="5"/>
        <v>550</v>
      </c>
      <c r="G53" s="19">
        <f t="shared" ref="G53:G80" si="6">G52+F53</f>
        <v>1073</v>
      </c>
    </row>
    <row r="54">
      <c r="A54" s="12">
        <v>3.0</v>
      </c>
      <c r="B54" s="12" t="s">
        <v>72</v>
      </c>
      <c r="C54" s="13" t="s">
        <v>73</v>
      </c>
      <c r="D54" s="14">
        <v>578.0</v>
      </c>
      <c r="E54" s="16"/>
      <c r="F54" s="14">
        <f t="shared" si="5"/>
        <v>578</v>
      </c>
      <c r="G54" s="19">
        <f t="shared" si="6"/>
        <v>1651</v>
      </c>
    </row>
    <row r="55">
      <c r="A55" s="12">
        <v>4.0</v>
      </c>
      <c r="B55" s="12" t="s">
        <v>72</v>
      </c>
      <c r="C55" s="13" t="s">
        <v>73</v>
      </c>
      <c r="D55" s="14">
        <v>607.0</v>
      </c>
      <c r="E55" s="16"/>
      <c r="F55" s="14">
        <f t="shared" si="5"/>
        <v>607</v>
      </c>
      <c r="G55" s="19">
        <f t="shared" si="6"/>
        <v>2258</v>
      </c>
    </row>
    <row r="56">
      <c r="A56" s="12">
        <v>5.0</v>
      </c>
      <c r="B56" s="12" t="s">
        <v>72</v>
      </c>
      <c r="C56" s="13" t="s">
        <v>73</v>
      </c>
      <c r="D56" s="14">
        <v>607.0</v>
      </c>
      <c r="E56" s="16"/>
      <c r="F56" s="14">
        <f t="shared" si="5"/>
        <v>607</v>
      </c>
      <c r="G56" s="19">
        <f t="shared" si="6"/>
        <v>2865</v>
      </c>
    </row>
    <row r="57">
      <c r="A57" s="12">
        <v>6.0</v>
      </c>
      <c r="B57" s="12" t="s">
        <v>72</v>
      </c>
      <c r="C57" s="13" t="s">
        <v>73</v>
      </c>
      <c r="D57" s="14">
        <v>636.0</v>
      </c>
      <c r="E57" s="16"/>
      <c r="F57" s="14">
        <f t="shared" si="5"/>
        <v>636</v>
      </c>
      <c r="G57" s="19">
        <f t="shared" si="6"/>
        <v>3501</v>
      </c>
    </row>
    <row r="58">
      <c r="A58" s="12">
        <v>7.0</v>
      </c>
      <c r="B58" s="12" t="s">
        <v>64</v>
      </c>
      <c r="C58" s="13" t="s">
        <v>66</v>
      </c>
      <c r="D58" s="14">
        <v>669.0</v>
      </c>
      <c r="E58" s="16"/>
      <c r="F58" s="14">
        <f t="shared" si="5"/>
        <v>669</v>
      </c>
      <c r="G58" s="19">
        <f t="shared" si="6"/>
        <v>4170</v>
      </c>
    </row>
    <row r="59">
      <c r="A59" s="12">
        <v>8.0</v>
      </c>
      <c r="B59" s="12" t="s">
        <v>79</v>
      </c>
      <c r="C59" s="13" t="s">
        <v>317</v>
      </c>
      <c r="D59" s="14">
        <v>523.0</v>
      </c>
      <c r="E59" s="16"/>
      <c r="F59" s="14">
        <f t="shared" si="5"/>
        <v>523</v>
      </c>
      <c r="G59" s="19">
        <f t="shared" si="6"/>
        <v>4693</v>
      </c>
    </row>
    <row r="60">
      <c r="A60" s="12">
        <v>9.0</v>
      </c>
      <c r="B60" s="12" t="s">
        <v>79</v>
      </c>
      <c r="C60" s="13" t="s">
        <v>317</v>
      </c>
      <c r="D60" s="14">
        <v>550.0</v>
      </c>
      <c r="E60" s="16"/>
      <c r="F60" s="14">
        <f t="shared" si="5"/>
        <v>550</v>
      </c>
      <c r="G60" s="19">
        <f t="shared" si="6"/>
        <v>5243</v>
      </c>
    </row>
    <row r="61">
      <c r="A61" s="12">
        <v>10.0</v>
      </c>
      <c r="B61" s="12" t="s">
        <v>79</v>
      </c>
      <c r="C61" s="13" t="s">
        <v>317</v>
      </c>
      <c r="D61" s="14">
        <v>578.0</v>
      </c>
      <c r="E61" s="16"/>
      <c r="F61" s="14">
        <f t="shared" si="5"/>
        <v>578</v>
      </c>
      <c r="G61" s="19">
        <f t="shared" si="6"/>
        <v>5821</v>
      </c>
    </row>
    <row r="62">
      <c r="A62" s="12">
        <v>11.0</v>
      </c>
      <c r="B62" s="12" t="s">
        <v>79</v>
      </c>
      <c r="C62" s="13" t="s">
        <v>317</v>
      </c>
      <c r="D62" s="14">
        <v>607.0</v>
      </c>
      <c r="E62" s="16"/>
      <c r="F62" s="14">
        <f t="shared" si="5"/>
        <v>607</v>
      </c>
      <c r="G62" s="19">
        <f t="shared" si="6"/>
        <v>6428</v>
      </c>
    </row>
    <row r="63">
      <c r="A63" s="12">
        <v>12.0</v>
      </c>
      <c r="B63" s="12" t="s">
        <v>79</v>
      </c>
      <c r="C63" s="13" t="s">
        <v>317</v>
      </c>
      <c r="D63" s="14">
        <v>607.0</v>
      </c>
      <c r="E63" s="16"/>
      <c r="F63" s="14">
        <f t="shared" si="5"/>
        <v>607</v>
      </c>
      <c r="G63" s="19">
        <f t="shared" si="6"/>
        <v>7035</v>
      </c>
    </row>
    <row r="64">
      <c r="A64" s="12">
        <v>13.0</v>
      </c>
      <c r="B64" s="12" t="s">
        <v>79</v>
      </c>
      <c r="C64" s="13" t="s">
        <v>317</v>
      </c>
      <c r="D64" s="14">
        <v>636.0</v>
      </c>
      <c r="E64" s="16"/>
      <c r="F64" s="14">
        <f t="shared" si="5"/>
        <v>636</v>
      </c>
      <c r="G64" s="19">
        <f t="shared" si="6"/>
        <v>7671</v>
      </c>
    </row>
    <row r="65">
      <c r="A65" s="12">
        <v>14.0</v>
      </c>
      <c r="B65" s="12" t="s">
        <v>83</v>
      </c>
      <c r="C65" s="13" t="s">
        <v>398</v>
      </c>
      <c r="D65" s="14">
        <v>1083.0</v>
      </c>
      <c r="E65" s="14">
        <v>1137.0</v>
      </c>
      <c r="F65" s="14">
        <f t="shared" si="5"/>
        <v>2220</v>
      </c>
      <c r="G65" s="19">
        <f t="shared" si="6"/>
        <v>9891</v>
      </c>
    </row>
    <row r="66">
      <c r="A66" s="12">
        <v>15.0</v>
      </c>
      <c r="B66" s="12" t="s">
        <v>67</v>
      </c>
      <c r="C66" s="13" t="s">
        <v>68</v>
      </c>
      <c r="D66" s="14">
        <v>523.0</v>
      </c>
      <c r="E66" s="16"/>
      <c r="F66" s="14">
        <f t="shared" si="5"/>
        <v>523</v>
      </c>
      <c r="G66" s="19">
        <f t="shared" si="6"/>
        <v>10414</v>
      </c>
    </row>
    <row r="67">
      <c r="A67" s="12">
        <v>16.0</v>
      </c>
      <c r="B67" s="12" t="s">
        <v>67</v>
      </c>
      <c r="C67" s="13" t="s">
        <v>68</v>
      </c>
      <c r="D67" s="14">
        <v>550.0</v>
      </c>
      <c r="E67" s="16"/>
      <c r="F67" s="14">
        <f t="shared" si="5"/>
        <v>550</v>
      </c>
      <c r="G67" s="19">
        <f t="shared" si="6"/>
        <v>10964</v>
      </c>
    </row>
    <row r="68">
      <c r="A68" s="12">
        <v>17.0</v>
      </c>
      <c r="B68" s="12" t="s">
        <v>67</v>
      </c>
      <c r="C68" s="13" t="s">
        <v>68</v>
      </c>
      <c r="D68" s="14">
        <v>578.0</v>
      </c>
      <c r="E68" s="16"/>
      <c r="F68" s="14">
        <f t="shared" si="5"/>
        <v>578</v>
      </c>
      <c r="G68" s="19">
        <f t="shared" si="6"/>
        <v>11542</v>
      </c>
    </row>
    <row r="69">
      <c r="A69" s="12">
        <v>18.0</v>
      </c>
      <c r="B69" s="12" t="s">
        <v>67</v>
      </c>
      <c r="C69" s="13" t="s">
        <v>68</v>
      </c>
      <c r="D69" s="14">
        <v>607.0</v>
      </c>
      <c r="E69" s="16"/>
      <c r="F69" s="14">
        <f t="shared" si="5"/>
        <v>607</v>
      </c>
      <c r="G69" s="19">
        <f t="shared" si="6"/>
        <v>12149</v>
      </c>
    </row>
    <row r="70">
      <c r="A70" s="12">
        <v>19.0</v>
      </c>
      <c r="B70" s="12" t="s">
        <v>306</v>
      </c>
      <c r="C70" s="13" t="s">
        <v>401</v>
      </c>
      <c r="D70" s="14">
        <v>1083.0</v>
      </c>
      <c r="E70" s="14">
        <v>1137.0</v>
      </c>
      <c r="F70" s="14">
        <f t="shared" si="5"/>
        <v>2220</v>
      </c>
      <c r="G70" s="19">
        <f t="shared" si="6"/>
        <v>14369</v>
      </c>
    </row>
    <row r="71">
      <c r="A71" s="12">
        <v>20.0</v>
      </c>
      <c r="B71" s="12" t="s">
        <v>67</v>
      </c>
      <c r="C71" s="13" t="s">
        <v>68</v>
      </c>
      <c r="D71" s="14">
        <v>607.0</v>
      </c>
      <c r="E71" s="16"/>
      <c r="F71" s="14">
        <f t="shared" si="5"/>
        <v>607</v>
      </c>
      <c r="G71" s="19">
        <f t="shared" si="6"/>
        <v>14976</v>
      </c>
    </row>
    <row r="72">
      <c r="A72" s="12">
        <v>21.0</v>
      </c>
      <c r="B72" s="12" t="s">
        <v>67</v>
      </c>
      <c r="C72" s="13" t="s">
        <v>68</v>
      </c>
      <c r="D72" s="14">
        <v>636.0</v>
      </c>
      <c r="E72" s="16"/>
      <c r="F72" s="14">
        <f t="shared" si="5"/>
        <v>636</v>
      </c>
      <c r="G72" s="19">
        <f t="shared" si="6"/>
        <v>15612</v>
      </c>
    </row>
    <row r="73">
      <c r="A73" s="12">
        <v>22.0</v>
      </c>
      <c r="B73" s="12" t="s">
        <v>60</v>
      </c>
      <c r="C73" s="13" t="s">
        <v>61</v>
      </c>
      <c r="D73" s="14">
        <v>523.0</v>
      </c>
      <c r="E73" s="16"/>
      <c r="F73" s="14">
        <f t="shared" si="5"/>
        <v>523</v>
      </c>
      <c r="G73" s="19">
        <f t="shared" si="6"/>
        <v>16135</v>
      </c>
    </row>
    <row r="74">
      <c r="A74" s="12">
        <v>23.0</v>
      </c>
      <c r="B74" s="12" t="s">
        <v>60</v>
      </c>
      <c r="C74" s="13" t="s">
        <v>61</v>
      </c>
      <c r="D74" s="14">
        <v>550.0</v>
      </c>
      <c r="E74" s="16"/>
      <c r="F74" s="14">
        <f t="shared" si="5"/>
        <v>550</v>
      </c>
      <c r="G74" s="19">
        <f t="shared" si="6"/>
        <v>16685</v>
      </c>
    </row>
    <row r="75">
      <c r="A75" s="12">
        <v>24.0</v>
      </c>
      <c r="B75" s="12" t="s">
        <v>60</v>
      </c>
      <c r="C75" s="13" t="s">
        <v>61</v>
      </c>
      <c r="D75" s="14">
        <v>578.0</v>
      </c>
      <c r="E75" s="16"/>
      <c r="F75" s="14">
        <f t="shared" si="5"/>
        <v>578</v>
      </c>
      <c r="G75" s="19">
        <f t="shared" si="6"/>
        <v>17263</v>
      </c>
    </row>
    <row r="76">
      <c r="A76" s="12">
        <v>25.0</v>
      </c>
      <c r="B76" s="12" t="s">
        <v>60</v>
      </c>
      <c r="C76" s="13" t="s">
        <v>61</v>
      </c>
      <c r="D76" s="14">
        <v>607.0</v>
      </c>
      <c r="E76" s="16"/>
      <c r="F76" s="14">
        <f t="shared" si="5"/>
        <v>607</v>
      </c>
      <c r="G76" s="19">
        <f t="shared" si="6"/>
        <v>17870</v>
      </c>
    </row>
    <row r="77">
      <c r="A77" s="12">
        <v>26.0</v>
      </c>
      <c r="B77" s="12" t="s">
        <v>60</v>
      </c>
      <c r="C77" s="13" t="s">
        <v>61</v>
      </c>
      <c r="D77" s="14">
        <v>607.0</v>
      </c>
      <c r="E77" s="16"/>
      <c r="F77" s="14">
        <f t="shared" si="5"/>
        <v>607</v>
      </c>
      <c r="G77" s="19">
        <f t="shared" si="6"/>
        <v>18477</v>
      </c>
    </row>
    <row r="78">
      <c r="A78" s="12">
        <v>27.0</v>
      </c>
      <c r="B78" s="12" t="s">
        <v>60</v>
      </c>
      <c r="C78" s="13" t="s">
        <v>61</v>
      </c>
      <c r="D78" s="14">
        <v>636.0</v>
      </c>
      <c r="E78" s="16"/>
      <c r="F78" s="14">
        <f t="shared" si="5"/>
        <v>636</v>
      </c>
      <c r="G78" s="19">
        <f t="shared" si="6"/>
        <v>19113</v>
      </c>
    </row>
    <row r="79">
      <c r="A79" s="12">
        <v>28.0</v>
      </c>
      <c r="B79" s="12" t="s">
        <v>75</v>
      </c>
      <c r="C79" s="13" t="s">
        <v>76</v>
      </c>
      <c r="D79" s="14">
        <v>669.0</v>
      </c>
      <c r="E79" s="16"/>
      <c r="F79" s="14">
        <f t="shared" si="5"/>
        <v>669</v>
      </c>
      <c r="G79" s="19">
        <f t="shared" si="6"/>
        <v>19782</v>
      </c>
    </row>
    <row r="80">
      <c r="A80" s="12">
        <v>29.0</v>
      </c>
      <c r="B80" s="12" t="s">
        <v>324</v>
      </c>
      <c r="C80" s="23" t="s">
        <v>404</v>
      </c>
      <c r="D80" s="14">
        <v>3009.0</v>
      </c>
      <c r="E80" s="16"/>
      <c r="F80" s="14">
        <f t="shared" si="5"/>
        <v>3009</v>
      </c>
      <c r="G80" s="19">
        <f t="shared" si="6"/>
        <v>22791</v>
      </c>
    </row>
    <row r="81">
      <c r="A81" s="24"/>
      <c r="B81" s="24"/>
      <c r="C81" s="26"/>
      <c r="D81" s="27">
        <v>31.0</v>
      </c>
      <c r="E81" s="28"/>
      <c r="F81" s="27">
        <f>SUM(F52:F80)</f>
        <v>22791</v>
      </c>
      <c r="G81" s="29">
        <f>G80</f>
        <v>22791</v>
      </c>
    </row>
    <row r="82">
      <c r="C82" s="30"/>
      <c r="G82" s="30"/>
    </row>
    <row r="83">
      <c r="A83" s="4" t="s">
        <v>396</v>
      </c>
      <c r="B83" s="5"/>
      <c r="C83" s="5"/>
      <c r="D83" s="5"/>
      <c r="E83" s="5"/>
      <c r="F83" s="5"/>
      <c r="G83" s="6"/>
    </row>
    <row r="84">
      <c r="A84" s="7"/>
      <c r="B84" s="8"/>
      <c r="C84" s="8"/>
      <c r="D84" s="8"/>
      <c r="E84" s="8"/>
      <c r="F84" s="8"/>
      <c r="G84" s="9"/>
    </row>
    <row r="85">
      <c r="A85" s="10"/>
      <c r="B85" s="10" t="s">
        <v>6</v>
      </c>
      <c r="C85" s="11" t="s">
        <v>7</v>
      </c>
      <c r="D85" s="10" t="s">
        <v>8</v>
      </c>
      <c r="E85" s="10" t="s">
        <v>9</v>
      </c>
      <c r="F85" s="10" t="s">
        <v>10</v>
      </c>
      <c r="G85" s="11" t="s">
        <v>11</v>
      </c>
    </row>
    <row r="86">
      <c r="A86" s="12">
        <v>1.0</v>
      </c>
      <c r="B86" s="12" t="s">
        <v>106</v>
      </c>
      <c r="C86" s="13" t="s">
        <v>107</v>
      </c>
      <c r="D86" s="14">
        <v>614.0</v>
      </c>
      <c r="E86" s="16"/>
      <c r="F86" s="14">
        <f t="shared" ref="F86:F118" si="7">SUM(D86:E86)</f>
        <v>614</v>
      </c>
      <c r="G86" s="19">
        <f>F86</f>
        <v>614</v>
      </c>
    </row>
    <row r="87">
      <c r="A87" s="12">
        <v>2.0</v>
      </c>
      <c r="B87" s="12" t="s">
        <v>106</v>
      </c>
      <c r="C87" s="13" t="s">
        <v>107</v>
      </c>
      <c r="D87" s="14">
        <v>645.0</v>
      </c>
      <c r="E87" s="16"/>
      <c r="F87" s="14">
        <f t="shared" si="7"/>
        <v>645</v>
      </c>
      <c r="G87" s="19">
        <f t="shared" ref="G87:G118" si="8">G86+F87</f>
        <v>1259</v>
      </c>
    </row>
    <row r="88">
      <c r="A88" s="12">
        <v>3.0</v>
      </c>
      <c r="B88" s="12" t="s">
        <v>106</v>
      </c>
      <c r="C88" s="13" t="s">
        <v>107</v>
      </c>
      <c r="D88" s="14">
        <v>677.0</v>
      </c>
      <c r="E88" s="16"/>
      <c r="F88" s="14">
        <f t="shared" si="7"/>
        <v>677</v>
      </c>
      <c r="G88" s="19">
        <f t="shared" si="8"/>
        <v>1936</v>
      </c>
    </row>
    <row r="89">
      <c r="A89" s="12">
        <v>4.0</v>
      </c>
      <c r="B89" s="12" t="s">
        <v>106</v>
      </c>
      <c r="C89" s="13" t="s">
        <v>107</v>
      </c>
      <c r="D89" s="14">
        <v>677.0</v>
      </c>
      <c r="E89" s="16"/>
      <c r="F89" s="14">
        <f t="shared" si="7"/>
        <v>677</v>
      </c>
      <c r="G89" s="19">
        <f t="shared" si="8"/>
        <v>2613</v>
      </c>
    </row>
    <row r="90">
      <c r="A90" s="12">
        <v>5.0</v>
      </c>
      <c r="B90" s="12" t="s">
        <v>106</v>
      </c>
      <c r="C90" s="13" t="s">
        <v>107</v>
      </c>
      <c r="D90" s="14">
        <v>645.0</v>
      </c>
      <c r="E90" s="16"/>
      <c r="F90" s="14">
        <f t="shared" si="7"/>
        <v>645</v>
      </c>
      <c r="G90" s="19">
        <f t="shared" si="8"/>
        <v>3258</v>
      </c>
    </row>
    <row r="91">
      <c r="A91" s="12">
        <v>6.0</v>
      </c>
      <c r="B91" s="12" t="s">
        <v>47</v>
      </c>
      <c r="C91" s="13" t="s">
        <v>48</v>
      </c>
      <c r="D91" s="14">
        <v>677.0</v>
      </c>
      <c r="E91" s="16"/>
      <c r="F91" s="14">
        <f t="shared" si="7"/>
        <v>677</v>
      </c>
      <c r="G91" s="19">
        <f t="shared" si="8"/>
        <v>3935</v>
      </c>
    </row>
    <row r="92">
      <c r="A92" s="12">
        <v>7.0</v>
      </c>
      <c r="B92" s="12" t="s">
        <v>47</v>
      </c>
      <c r="C92" s="13" t="s">
        <v>48</v>
      </c>
      <c r="D92" s="14">
        <v>677.0</v>
      </c>
      <c r="E92" s="16"/>
      <c r="F92" s="14">
        <f t="shared" si="7"/>
        <v>677</v>
      </c>
      <c r="G92" s="19">
        <f t="shared" si="8"/>
        <v>4612</v>
      </c>
    </row>
    <row r="93">
      <c r="A93" s="12">
        <v>8.0</v>
      </c>
      <c r="B93" s="12" t="s">
        <v>22</v>
      </c>
      <c r="C93" s="13" t="s">
        <v>407</v>
      </c>
      <c r="D93" s="14">
        <v>1209.0</v>
      </c>
      <c r="E93" s="14">
        <v>1269.0</v>
      </c>
      <c r="F93" s="14">
        <f t="shared" si="7"/>
        <v>2478</v>
      </c>
      <c r="G93" s="19">
        <f t="shared" si="8"/>
        <v>7090</v>
      </c>
    </row>
    <row r="94">
      <c r="A94" s="12">
        <v>9.0</v>
      </c>
      <c r="B94" s="12" t="s">
        <v>93</v>
      </c>
      <c r="C94" s="13" t="s">
        <v>94</v>
      </c>
      <c r="D94" s="14">
        <v>614.0</v>
      </c>
      <c r="E94" s="16"/>
      <c r="F94" s="14">
        <f t="shared" si="7"/>
        <v>614</v>
      </c>
      <c r="G94" s="19">
        <f t="shared" si="8"/>
        <v>7704</v>
      </c>
    </row>
    <row r="95">
      <c r="A95" s="12">
        <v>10.0</v>
      </c>
      <c r="B95" s="12" t="s">
        <v>93</v>
      </c>
      <c r="C95" s="13" t="s">
        <v>94</v>
      </c>
      <c r="D95" s="14">
        <v>645.0</v>
      </c>
      <c r="E95" s="16"/>
      <c r="F95" s="14">
        <f t="shared" si="7"/>
        <v>645</v>
      </c>
      <c r="G95" s="19">
        <f t="shared" si="8"/>
        <v>8349</v>
      </c>
    </row>
    <row r="96">
      <c r="A96" s="12">
        <v>11.0</v>
      </c>
      <c r="B96" s="12" t="s">
        <v>93</v>
      </c>
      <c r="C96" s="13" t="s">
        <v>94</v>
      </c>
      <c r="D96" s="14">
        <v>677.0</v>
      </c>
      <c r="E96" s="16"/>
      <c r="F96" s="14">
        <f t="shared" si="7"/>
        <v>677</v>
      </c>
      <c r="G96" s="19">
        <f t="shared" si="8"/>
        <v>9026</v>
      </c>
    </row>
    <row r="97">
      <c r="A97" s="12">
        <v>12.0</v>
      </c>
      <c r="B97" s="12" t="s">
        <v>93</v>
      </c>
      <c r="C97" s="13" t="s">
        <v>94</v>
      </c>
      <c r="D97" s="14">
        <v>677.0</v>
      </c>
      <c r="E97" s="16"/>
      <c r="F97" s="14">
        <f t="shared" si="7"/>
        <v>677</v>
      </c>
      <c r="G97" s="19">
        <f t="shared" si="8"/>
        <v>9703</v>
      </c>
    </row>
    <row r="98">
      <c r="A98" s="12">
        <v>13.0</v>
      </c>
      <c r="B98" s="12" t="s">
        <v>93</v>
      </c>
      <c r="C98" s="13" t="s">
        <v>94</v>
      </c>
      <c r="D98" s="14">
        <v>645.0</v>
      </c>
      <c r="E98" s="16"/>
      <c r="F98" s="14">
        <f t="shared" si="7"/>
        <v>645</v>
      </c>
      <c r="G98" s="19">
        <f t="shared" si="8"/>
        <v>10348</v>
      </c>
    </row>
    <row r="99">
      <c r="A99" s="12">
        <v>14.0</v>
      </c>
      <c r="B99" s="12" t="s">
        <v>99</v>
      </c>
      <c r="C99" s="13" t="s">
        <v>100</v>
      </c>
      <c r="D99" s="14">
        <v>677.0</v>
      </c>
      <c r="E99" s="16"/>
      <c r="F99" s="14">
        <f t="shared" si="7"/>
        <v>677</v>
      </c>
      <c r="G99" s="19">
        <f t="shared" si="8"/>
        <v>11025</v>
      </c>
    </row>
    <row r="100">
      <c r="A100" s="12">
        <v>15.0</v>
      </c>
      <c r="B100" s="12" t="s">
        <v>99</v>
      </c>
      <c r="C100" s="13" t="s">
        <v>100</v>
      </c>
      <c r="D100" s="14">
        <v>677.0</v>
      </c>
      <c r="E100" s="16"/>
      <c r="F100" s="14">
        <f t="shared" si="7"/>
        <v>677</v>
      </c>
      <c r="G100" s="19">
        <f t="shared" si="8"/>
        <v>11702</v>
      </c>
    </row>
    <row r="101">
      <c r="A101" s="12">
        <v>16.0</v>
      </c>
      <c r="B101" s="12" t="s">
        <v>104</v>
      </c>
      <c r="C101" s="13" t="s">
        <v>105</v>
      </c>
      <c r="D101" s="14">
        <v>711.0</v>
      </c>
      <c r="E101" s="16"/>
      <c r="F101" s="14">
        <f t="shared" si="7"/>
        <v>711</v>
      </c>
      <c r="G101" s="19">
        <f t="shared" si="8"/>
        <v>12413</v>
      </c>
    </row>
    <row r="102">
      <c r="A102" s="12">
        <v>17.0</v>
      </c>
      <c r="B102" s="12" t="s">
        <v>346</v>
      </c>
      <c r="C102" s="23" t="s">
        <v>409</v>
      </c>
      <c r="D102" s="14">
        <v>3360.0</v>
      </c>
      <c r="E102" s="16"/>
      <c r="F102" s="14">
        <f t="shared" si="7"/>
        <v>3360</v>
      </c>
      <c r="G102" s="19">
        <f t="shared" si="8"/>
        <v>15773</v>
      </c>
    </row>
    <row r="103">
      <c r="A103" s="12">
        <v>18.0</v>
      </c>
      <c r="B103" s="12" t="s">
        <v>47</v>
      </c>
      <c r="C103" s="13" t="s">
        <v>48</v>
      </c>
      <c r="D103" s="14">
        <v>614.0</v>
      </c>
      <c r="E103" s="16"/>
      <c r="F103" s="14">
        <f t="shared" si="7"/>
        <v>614</v>
      </c>
      <c r="G103" s="19">
        <f t="shared" si="8"/>
        <v>16387</v>
      </c>
    </row>
    <row r="104">
      <c r="A104" s="12">
        <v>19.0</v>
      </c>
      <c r="B104" s="12" t="s">
        <v>47</v>
      </c>
      <c r="C104" s="13" t="s">
        <v>48</v>
      </c>
      <c r="D104" s="14">
        <v>645.0</v>
      </c>
      <c r="E104" s="16"/>
      <c r="F104" s="14">
        <f t="shared" si="7"/>
        <v>645</v>
      </c>
      <c r="G104" s="19">
        <f t="shared" si="8"/>
        <v>17032</v>
      </c>
    </row>
    <row r="105">
      <c r="A105" s="12">
        <v>20.0</v>
      </c>
      <c r="B105" s="12" t="s">
        <v>47</v>
      </c>
      <c r="C105" s="13" t="s">
        <v>48</v>
      </c>
      <c r="D105" s="14">
        <v>677.0</v>
      </c>
      <c r="E105" s="16"/>
      <c r="F105" s="14">
        <f t="shared" si="7"/>
        <v>677</v>
      </c>
      <c r="G105" s="19">
        <f t="shared" si="8"/>
        <v>17709</v>
      </c>
    </row>
    <row r="106">
      <c r="A106" s="12">
        <v>21.0</v>
      </c>
      <c r="B106" s="12" t="s">
        <v>51</v>
      </c>
      <c r="C106" s="13" t="s">
        <v>52</v>
      </c>
      <c r="D106" s="14">
        <v>677.0</v>
      </c>
      <c r="E106" s="16"/>
      <c r="F106" s="14">
        <f t="shared" si="7"/>
        <v>677</v>
      </c>
      <c r="G106" s="19">
        <f t="shared" si="8"/>
        <v>18386</v>
      </c>
    </row>
    <row r="107">
      <c r="A107" s="12">
        <v>22.0</v>
      </c>
      <c r="B107" s="12" t="s">
        <v>51</v>
      </c>
      <c r="C107" s="13" t="s">
        <v>52</v>
      </c>
      <c r="D107" s="14">
        <v>645.0</v>
      </c>
      <c r="E107" s="16"/>
      <c r="F107" s="14">
        <f t="shared" si="7"/>
        <v>645</v>
      </c>
      <c r="G107" s="19">
        <f t="shared" si="8"/>
        <v>19031</v>
      </c>
    </row>
    <row r="108">
      <c r="A108" s="12">
        <v>23.0</v>
      </c>
      <c r="B108" s="12" t="s">
        <v>51</v>
      </c>
      <c r="C108" s="13" t="s">
        <v>52</v>
      </c>
      <c r="D108" s="14">
        <v>677.0</v>
      </c>
      <c r="E108" s="16"/>
      <c r="F108" s="14">
        <f t="shared" si="7"/>
        <v>677</v>
      </c>
      <c r="G108" s="19">
        <f t="shared" si="8"/>
        <v>19708</v>
      </c>
    </row>
    <row r="109">
      <c r="A109" s="12">
        <v>24.0</v>
      </c>
      <c r="B109" s="12" t="s">
        <v>51</v>
      </c>
      <c r="C109" s="13" t="s">
        <v>52</v>
      </c>
      <c r="D109" s="14">
        <v>677.0</v>
      </c>
      <c r="E109" s="16"/>
      <c r="F109" s="14">
        <f t="shared" si="7"/>
        <v>677</v>
      </c>
      <c r="G109" s="19">
        <f t="shared" si="8"/>
        <v>20385</v>
      </c>
    </row>
    <row r="110">
      <c r="A110" s="12">
        <v>25.0</v>
      </c>
      <c r="B110" s="12" t="s">
        <v>51</v>
      </c>
      <c r="C110" s="13" t="s">
        <v>52</v>
      </c>
      <c r="D110" s="14">
        <v>711.0</v>
      </c>
      <c r="E110" s="16"/>
      <c r="F110" s="14">
        <f t="shared" si="7"/>
        <v>711</v>
      </c>
      <c r="G110" s="19">
        <f t="shared" si="8"/>
        <v>21096</v>
      </c>
    </row>
    <row r="111">
      <c r="A111" s="12">
        <v>26.0</v>
      </c>
      <c r="B111" s="12" t="s">
        <v>99</v>
      </c>
      <c r="C111" s="13" t="s">
        <v>100</v>
      </c>
      <c r="D111" s="14">
        <v>614.0</v>
      </c>
      <c r="E111" s="16"/>
      <c r="F111" s="14">
        <f t="shared" si="7"/>
        <v>614</v>
      </c>
      <c r="G111" s="19">
        <f t="shared" si="8"/>
        <v>21710</v>
      </c>
    </row>
    <row r="112">
      <c r="A112" s="12">
        <v>27.0</v>
      </c>
      <c r="B112" s="12" t="s">
        <v>99</v>
      </c>
      <c r="C112" s="13" t="s">
        <v>100</v>
      </c>
      <c r="D112" s="14">
        <v>645.0</v>
      </c>
      <c r="E112" s="16"/>
      <c r="F112" s="14">
        <f t="shared" si="7"/>
        <v>645</v>
      </c>
      <c r="G112" s="19">
        <f t="shared" si="8"/>
        <v>22355</v>
      </c>
    </row>
    <row r="113">
      <c r="A113" s="12">
        <v>28.0</v>
      </c>
      <c r="B113" s="12" t="s">
        <v>99</v>
      </c>
      <c r="C113" s="13" t="s">
        <v>100</v>
      </c>
      <c r="D113" s="14">
        <v>677.0</v>
      </c>
      <c r="E113" s="16"/>
      <c r="F113" s="14">
        <f t="shared" si="7"/>
        <v>677</v>
      </c>
      <c r="G113" s="19">
        <f t="shared" si="8"/>
        <v>23032</v>
      </c>
    </row>
    <row r="114">
      <c r="A114" s="12">
        <v>29.0</v>
      </c>
      <c r="B114" s="12" t="s">
        <v>104</v>
      </c>
      <c r="C114" s="13" t="s">
        <v>105</v>
      </c>
      <c r="D114" s="14">
        <v>677.0</v>
      </c>
      <c r="E114" s="16"/>
      <c r="F114" s="14">
        <f t="shared" si="7"/>
        <v>677</v>
      </c>
      <c r="G114" s="19">
        <f t="shared" si="8"/>
        <v>23709</v>
      </c>
    </row>
    <row r="115">
      <c r="A115" s="12">
        <v>30.0</v>
      </c>
      <c r="B115" s="12" t="s">
        <v>104</v>
      </c>
      <c r="C115" s="13" t="s">
        <v>105</v>
      </c>
      <c r="D115" s="14">
        <v>645.0</v>
      </c>
      <c r="E115" s="16"/>
      <c r="F115" s="14">
        <f t="shared" si="7"/>
        <v>645</v>
      </c>
      <c r="G115" s="19">
        <f t="shared" si="8"/>
        <v>24354</v>
      </c>
    </row>
    <row r="116">
      <c r="A116" s="12">
        <v>31.0</v>
      </c>
      <c r="B116" s="12" t="s">
        <v>104</v>
      </c>
      <c r="C116" s="13" t="s">
        <v>105</v>
      </c>
      <c r="D116" s="14">
        <v>677.0</v>
      </c>
      <c r="E116" s="16"/>
      <c r="F116" s="14">
        <f t="shared" si="7"/>
        <v>677</v>
      </c>
      <c r="G116" s="19">
        <f t="shared" si="8"/>
        <v>25031</v>
      </c>
    </row>
    <row r="117">
      <c r="A117" s="12">
        <v>32.0</v>
      </c>
      <c r="B117" s="12" t="s">
        <v>104</v>
      </c>
      <c r="C117" s="13" t="s">
        <v>105</v>
      </c>
      <c r="D117" s="14">
        <v>677.0</v>
      </c>
      <c r="E117" s="16"/>
      <c r="F117" s="14">
        <f t="shared" si="7"/>
        <v>677</v>
      </c>
      <c r="G117" s="19">
        <f t="shared" si="8"/>
        <v>25708</v>
      </c>
    </row>
    <row r="118">
      <c r="A118" s="12">
        <v>33.0</v>
      </c>
      <c r="B118" s="12" t="s">
        <v>22</v>
      </c>
      <c r="C118" s="13" t="s">
        <v>407</v>
      </c>
      <c r="D118" s="14">
        <v>1209.0</v>
      </c>
      <c r="E118" s="14">
        <v>1269.0</v>
      </c>
      <c r="F118" s="14">
        <f t="shared" si="7"/>
        <v>2478</v>
      </c>
      <c r="G118" s="19">
        <f t="shared" si="8"/>
        <v>28186</v>
      </c>
    </row>
    <row r="119">
      <c r="A119" s="24"/>
      <c r="B119" s="24"/>
      <c r="C119" s="26"/>
      <c r="D119" s="27">
        <v>35.0</v>
      </c>
      <c r="E119" s="28"/>
      <c r="F119" s="27">
        <f>SUM(F86:F118)</f>
        <v>28186</v>
      </c>
      <c r="G119" s="29">
        <f>G118</f>
        <v>28186</v>
      </c>
    </row>
  </sheetData>
  <mergeCells count="4">
    <mergeCell ref="A1:G2"/>
    <mergeCell ref="A20:G21"/>
    <mergeCell ref="A49:G50"/>
    <mergeCell ref="A83:G84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8.57"/>
    <col customWidth="1" min="3" max="3" width="67.43"/>
    <col customWidth="1" min="4" max="5" width="7.14"/>
    <col customWidth="1" min="6" max="6" width="7.0"/>
    <col customWidth="1" min="7" max="7" width="8.57"/>
  </cols>
  <sheetData>
    <row r="1">
      <c r="A1" s="4" t="s">
        <v>185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25</v>
      </c>
      <c r="C4" s="13" t="s">
        <v>30</v>
      </c>
      <c r="D4" s="14">
        <v>262.0</v>
      </c>
      <c r="E4" s="16"/>
      <c r="F4" s="14">
        <f t="shared" ref="F4:F20" si="1">SUM(D4:E4)</f>
        <v>262</v>
      </c>
      <c r="G4" s="19">
        <f>F4</f>
        <v>262</v>
      </c>
    </row>
    <row r="5">
      <c r="A5" s="12">
        <v>2.0</v>
      </c>
      <c r="B5" s="12" t="s">
        <v>25</v>
      </c>
      <c r="C5" s="13" t="s">
        <v>30</v>
      </c>
      <c r="D5" s="14">
        <v>275.0</v>
      </c>
      <c r="E5" s="16"/>
      <c r="F5" s="14">
        <f t="shared" si="1"/>
        <v>275</v>
      </c>
      <c r="G5" s="19">
        <f t="shared" ref="G5:G20" si="2">G4+F5</f>
        <v>537</v>
      </c>
    </row>
    <row r="6">
      <c r="A6" s="12">
        <v>3.0</v>
      </c>
      <c r="B6" s="12" t="s">
        <v>25</v>
      </c>
      <c r="C6" s="13" t="s">
        <v>30</v>
      </c>
      <c r="D6" s="14">
        <v>290.0</v>
      </c>
      <c r="E6" s="16"/>
      <c r="F6" s="14">
        <f t="shared" si="1"/>
        <v>290</v>
      </c>
      <c r="G6" s="19">
        <f t="shared" si="2"/>
        <v>827</v>
      </c>
    </row>
    <row r="7">
      <c r="A7" s="12">
        <v>4.0</v>
      </c>
      <c r="B7" s="12" t="s">
        <v>25</v>
      </c>
      <c r="C7" s="13" t="s">
        <v>30</v>
      </c>
      <c r="D7" s="14">
        <v>303.0</v>
      </c>
      <c r="E7" s="16"/>
      <c r="F7" s="14">
        <f t="shared" si="1"/>
        <v>303</v>
      </c>
      <c r="G7" s="19">
        <f t="shared" si="2"/>
        <v>1130</v>
      </c>
    </row>
    <row r="8">
      <c r="A8" s="12">
        <v>5.0</v>
      </c>
      <c r="B8" s="12" t="s">
        <v>25</v>
      </c>
      <c r="C8" s="13" t="s">
        <v>30</v>
      </c>
      <c r="D8" s="14">
        <v>319.0</v>
      </c>
      <c r="E8" s="16"/>
      <c r="F8" s="14">
        <f t="shared" si="1"/>
        <v>319</v>
      </c>
      <c r="G8" s="19">
        <f t="shared" si="2"/>
        <v>1449</v>
      </c>
    </row>
    <row r="9">
      <c r="A9" s="12">
        <v>6.0</v>
      </c>
      <c r="B9" s="12" t="s">
        <v>25</v>
      </c>
      <c r="C9" s="13" t="s">
        <v>30</v>
      </c>
      <c r="D9" s="14">
        <v>335.0</v>
      </c>
      <c r="E9" s="16"/>
      <c r="F9" s="14">
        <f t="shared" si="1"/>
        <v>335</v>
      </c>
      <c r="G9" s="19">
        <f t="shared" si="2"/>
        <v>1784</v>
      </c>
    </row>
    <row r="10">
      <c r="A10" s="12">
        <v>7.0</v>
      </c>
      <c r="B10" s="12" t="s">
        <v>28</v>
      </c>
      <c r="C10" s="13" t="s">
        <v>31</v>
      </c>
      <c r="D10" s="14">
        <v>598.0</v>
      </c>
      <c r="E10" s="14">
        <v>628.0</v>
      </c>
      <c r="F10" s="14">
        <f t="shared" si="1"/>
        <v>1226</v>
      </c>
      <c r="G10" s="19">
        <f t="shared" si="2"/>
        <v>3010</v>
      </c>
    </row>
    <row r="11">
      <c r="A11" s="12">
        <v>8.0</v>
      </c>
      <c r="B11" s="12" t="s">
        <v>22</v>
      </c>
      <c r="C11" s="13" t="s">
        <v>24</v>
      </c>
      <c r="D11" s="14">
        <v>262.0</v>
      </c>
      <c r="E11" s="16"/>
      <c r="F11" s="14">
        <f t="shared" si="1"/>
        <v>262</v>
      </c>
      <c r="G11" s="19">
        <f t="shared" si="2"/>
        <v>3272</v>
      </c>
    </row>
    <row r="12">
      <c r="A12" s="12">
        <v>9.0</v>
      </c>
      <c r="B12" s="12" t="s">
        <v>22</v>
      </c>
      <c r="C12" s="13" t="s">
        <v>24</v>
      </c>
      <c r="D12" s="14">
        <v>275.0</v>
      </c>
      <c r="E12" s="16"/>
      <c r="F12" s="14">
        <f t="shared" si="1"/>
        <v>275</v>
      </c>
      <c r="G12" s="19">
        <f t="shared" si="2"/>
        <v>3547</v>
      </c>
    </row>
    <row r="13">
      <c r="A13" s="12">
        <v>10.0</v>
      </c>
      <c r="B13" s="12" t="s">
        <v>12</v>
      </c>
      <c r="C13" s="13" t="s">
        <v>15</v>
      </c>
      <c r="D13" s="14">
        <v>262.0</v>
      </c>
      <c r="E13" s="16"/>
      <c r="F13" s="14">
        <f t="shared" si="1"/>
        <v>262</v>
      </c>
      <c r="G13" s="19">
        <f t="shared" si="2"/>
        <v>3809</v>
      </c>
    </row>
    <row r="14">
      <c r="A14" s="12">
        <v>11.0</v>
      </c>
      <c r="B14" s="12" t="s">
        <v>12</v>
      </c>
      <c r="C14" s="13" t="s">
        <v>15</v>
      </c>
      <c r="D14" s="14">
        <v>275.0</v>
      </c>
      <c r="E14" s="16"/>
      <c r="F14" s="14">
        <f t="shared" si="1"/>
        <v>275</v>
      </c>
      <c r="G14" s="19">
        <f t="shared" si="2"/>
        <v>4084</v>
      </c>
    </row>
    <row r="15">
      <c r="A15" s="12">
        <v>12.0</v>
      </c>
      <c r="B15" s="12" t="s">
        <v>12</v>
      </c>
      <c r="C15" s="13" t="s">
        <v>15</v>
      </c>
      <c r="D15" s="14">
        <v>290.0</v>
      </c>
      <c r="E15" s="16"/>
      <c r="F15" s="14">
        <f t="shared" si="1"/>
        <v>290</v>
      </c>
      <c r="G15" s="19">
        <f t="shared" si="2"/>
        <v>4374</v>
      </c>
    </row>
    <row r="16">
      <c r="A16" s="12">
        <v>13.0</v>
      </c>
      <c r="B16" s="12" t="s">
        <v>12</v>
      </c>
      <c r="C16" s="13" t="s">
        <v>15</v>
      </c>
      <c r="D16" s="14">
        <v>303.0</v>
      </c>
      <c r="E16" s="16"/>
      <c r="F16" s="14">
        <f t="shared" si="1"/>
        <v>303</v>
      </c>
      <c r="G16" s="19">
        <f t="shared" si="2"/>
        <v>4677</v>
      </c>
    </row>
    <row r="17">
      <c r="A17" s="12">
        <v>14.0</v>
      </c>
      <c r="B17" s="12" t="s">
        <v>12</v>
      </c>
      <c r="C17" s="13" t="s">
        <v>15</v>
      </c>
      <c r="D17" s="14">
        <v>319.0</v>
      </c>
      <c r="E17" s="16"/>
      <c r="F17" s="14">
        <f t="shared" si="1"/>
        <v>319</v>
      </c>
      <c r="G17" s="19">
        <f t="shared" si="2"/>
        <v>4996</v>
      </c>
    </row>
    <row r="18">
      <c r="A18" s="12">
        <v>15.0</v>
      </c>
      <c r="B18" s="12" t="s">
        <v>12</v>
      </c>
      <c r="C18" s="13" t="s">
        <v>15</v>
      </c>
      <c r="D18" s="14">
        <v>335.0</v>
      </c>
      <c r="E18" s="16"/>
      <c r="F18" s="14">
        <f t="shared" si="1"/>
        <v>335</v>
      </c>
      <c r="G18" s="19">
        <f t="shared" si="2"/>
        <v>5331</v>
      </c>
    </row>
    <row r="19">
      <c r="A19" s="12">
        <v>16.0</v>
      </c>
      <c r="B19" s="12" t="s">
        <v>281</v>
      </c>
      <c r="C19" s="13" t="s">
        <v>282</v>
      </c>
      <c r="D19" s="14">
        <v>598.0</v>
      </c>
      <c r="E19" s="14">
        <v>628.0</v>
      </c>
      <c r="F19" s="14">
        <f t="shared" si="1"/>
        <v>1226</v>
      </c>
      <c r="G19" s="19">
        <f t="shared" si="2"/>
        <v>6557</v>
      </c>
    </row>
    <row r="20">
      <c r="A20" s="12">
        <v>17.0</v>
      </c>
      <c r="B20" s="12" t="s">
        <v>138</v>
      </c>
      <c r="C20" s="13" t="s">
        <v>139</v>
      </c>
      <c r="D20" s="14">
        <v>1661.0</v>
      </c>
      <c r="E20" s="16"/>
      <c r="F20" s="14">
        <f t="shared" si="1"/>
        <v>1661</v>
      </c>
      <c r="G20" s="19">
        <f t="shared" si="2"/>
        <v>8218</v>
      </c>
    </row>
    <row r="21">
      <c r="A21" s="24"/>
      <c r="B21" s="24"/>
      <c r="C21" s="26"/>
      <c r="D21" s="27">
        <v>19.0</v>
      </c>
      <c r="E21" s="28"/>
      <c r="F21" s="27">
        <f>SUM(F4:F20)</f>
        <v>8218</v>
      </c>
      <c r="G21" s="29">
        <f>G20</f>
        <v>8218</v>
      </c>
    </row>
    <row r="22">
      <c r="C22" s="30"/>
      <c r="G22" s="30"/>
    </row>
    <row r="23">
      <c r="A23" s="4" t="s">
        <v>397</v>
      </c>
      <c r="B23" s="5"/>
      <c r="C23" s="5"/>
      <c r="D23" s="5"/>
      <c r="E23" s="5"/>
      <c r="F23" s="5"/>
      <c r="G23" s="6"/>
    </row>
    <row r="24">
      <c r="A24" s="7"/>
      <c r="B24" s="8"/>
      <c r="C24" s="8"/>
      <c r="D24" s="8"/>
      <c r="E24" s="8"/>
      <c r="F24" s="8"/>
      <c r="G24" s="9"/>
    </row>
    <row r="25">
      <c r="A25" s="10"/>
      <c r="B25" s="10" t="s">
        <v>6</v>
      </c>
      <c r="C25" s="11" t="s">
        <v>7</v>
      </c>
      <c r="D25" s="10" t="s">
        <v>8</v>
      </c>
      <c r="E25" s="10" t="s">
        <v>9</v>
      </c>
      <c r="F25" s="10" t="s">
        <v>10</v>
      </c>
      <c r="G25" s="11" t="s">
        <v>11</v>
      </c>
    </row>
    <row r="26">
      <c r="A26" s="12">
        <v>1.0</v>
      </c>
      <c r="B26" s="12" t="s">
        <v>151</v>
      </c>
      <c r="C26" s="13" t="s">
        <v>152</v>
      </c>
      <c r="D26" s="14">
        <v>332.0</v>
      </c>
      <c r="E26" s="16"/>
      <c r="F26" s="14">
        <f t="shared" ref="F26:F53" si="3">SUM(D26:E26)</f>
        <v>332</v>
      </c>
      <c r="G26" s="19">
        <f>F26</f>
        <v>332</v>
      </c>
    </row>
    <row r="27">
      <c r="A27" s="12">
        <v>2.0</v>
      </c>
      <c r="B27" s="12" t="s">
        <v>148</v>
      </c>
      <c r="C27" s="13" t="s">
        <v>149</v>
      </c>
      <c r="D27" s="14">
        <v>350.0</v>
      </c>
      <c r="E27" s="16"/>
      <c r="F27" s="14">
        <f t="shared" si="3"/>
        <v>350</v>
      </c>
      <c r="G27" s="19">
        <f t="shared" ref="G27:G53" si="4">G26+F27</f>
        <v>682</v>
      </c>
    </row>
    <row r="28">
      <c r="A28" s="12">
        <v>3.0</v>
      </c>
      <c r="B28" s="12" t="s">
        <v>148</v>
      </c>
      <c r="C28" s="13" t="s">
        <v>149</v>
      </c>
      <c r="D28" s="14">
        <v>366.0</v>
      </c>
      <c r="E28" s="16"/>
      <c r="F28" s="14">
        <f t="shared" si="3"/>
        <v>366</v>
      </c>
      <c r="G28" s="19">
        <f t="shared" si="4"/>
        <v>1048</v>
      </c>
    </row>
    <row r="29">
      <c r="A29" s="12">
        <v>4.0</v>
      </c>
      <c r="B29" s="12" t="s">
        <v>148</v>
      </c>
      <c r="C29" s="13" t="s">
        <v>149</v>
      </c>
      <c r="D29" s="14">
        <v>385.0</v>
      </c>
      <c r="E29" s="16"/>
      <c r="F29" s="14">
        <f t="shared" si="3"/>
        <v>385</v>
      </c>
      <c r="G29" s="19">
        <f t="shared" si="4"/>
        <v>1433</v>
      </c>
    </row>
    <row r="30">
      <c r="A30" s="12">
        <v>5.0</v>
      </c>
      <c r="B30" s="12" t="s">
        <v>157</v>
      </c>
      <c r="C30" s="13" t="s">
        <v>158</v>
      </c>
      <c r="D30" s="14">
        <v>350.0</v>
      </c>
      <c r="E30" s="16"/>
      <c r="F30" s="14">
        <f t="shared" si="3"/>
        <v>350</v>
      </c>
      <c r="G30" s="19">
        <f t="shared" si="4"/>
        <v>1783</v>
      </c>
    </row>
    <row r="31">
      <c r="A31" s="12">
        <v>6.0</v>
      </c>
      <c r="B31" s="12" t="s">
        <v>148</v>
      </c>
      <c r="C31" s="13" t="s">
        <v>149</v>
      </c>
      <c r="D31" s="14">
        <v>366.0</v>
      </c>
      <c r="E31" s="16"/>
      <c r="F31" s="14">
        <f t="shared" si="3"/>
        <v>366</v>
      </c>
      <c r="G31" s="19">
        <f t="shared" si="4"/>
        <v>2149</v>
      </c>
    </row>
    <row r="32">
      <c r="A32" s="12">
        <v>7.0</v>
      </c>
      <c r="B32" s="12" t="s">
        <v>99</v>
      </c>
      <c r="C32" s="13" t="s">
        <v>114</v>
      </c>
      <c r="D32" s="14">
        <v>385.0</v>
      </c>
      <c r="E32" s="16"/>
      <c r="F32" s="14">
        <f t="shared" si="3"/>
        <v>385</v>
      </c>
      <c r="G32" s="19">
        <f t="shared" si="4"/>
        <v>2534</v>
      </c>
    </row>
    <row r="33">
      <c r="A33" s="12">
        <v>8.0</v>
      </c>
      <c r="B33" s="12" t="s">
        <v>148</v>
      </c>
      <c r="C33" s="13" t="s">
        <v>149</v>
      </c>
      <c r="D33" s="14">
        <v>404.0</v>
      </c>
      <c r="E33" s="16"/>
      <c r="F33" s="14">
        <f t="shared" si="3"/>
        <v>404</v>
      </c>
      <c r="G33" s="19">
        <f t="shared" si="4"/>
        <v>2938</v>
      </c>
    </row>
    <row r="34">
      <c r="A34" s="12">
        <v>9.0</v>
      </c>
      <c r="B34" s="12" t="s">
        <v>153</v>
      </c>
      <c r="C34" s="13" t="s">
        <v>403</v>
      </c>
      <c r="D34" s="14">
        <v>722.0</v>
      </c>
      <c r="E34" s="14">
        <v>758.0</v>
      </c>
      <c r="F34" s="14">
        <f t="shared" si="3"/>
        <v>1480</v>
      </c>
      <c r="G34" s="19">
        <f t="shared" si="4"/>
        <v>4418</v>
      </c>
    </row>
    <row r="35">
      <c r="A35" s="12">
        <v>10.0</v>
      </c>
      <c r="B35" s="12" t="s">
        <v>151</v>
      </c>
      <c r="C35" s="13" t="s">
        <v>152</v>
      </c>
      <c r="D35" s="14">
        <v>332.0</v>
      </c>
      <c r="E35" s="16"/>
      <c r="F35" s="14">
        <f t="shared" si="3"/>
        <v>332</v>
      </c>
      <c r="G35" s="19">
        <f t="shared" si="4"/>
        <v>4750</v>
      </c>
    </row>
    <row r="36">
      <c r="A36" s="12">
        <v>11.0</v>
      </c>
      <c r="B36" s="12" t="s">
        <v>151</v>
      </c>
      <c r="C36" s="13" t="s">
        <v>152</v>
      </c>
      <c r="D36" s="14">
        <v>350.0</v>
      </c>
      <c r="E36" s="16"/>
      <c r="F36" s="14">
        <f t="shared" si="3"/>
        <v>350</v>
      </c>
      <c r="G36" s="19">
        <f t="shared" si="4"/>
        <v>5100</v>
      </c>
    </row>
    <row r="37">
      <c r="A37" s="12">
        <v>12.0</v>
      </c>
      <c r="B37" s="12" t="s">
        <v>99</v>
      </c>
      <c r="C37" s="13" t="s">
        <v>114</v>
      </c>
      <c r="D37" s="14">
        <v>366.0</v>
      </c>
      <c r="E37" s="16"/>
      <c r="F37" s="14">
        <f t="shared" si="3"/>
        <v>366</v>
      </c>
      <c r="G37" s="19">
        <f t="shared" si="4"/>
        <v>5466</v>
      </c>
    </row>
    <row r="38">
      <c r="A38" s="12">
        <v>13.0</v>
      </c>
      <c r="B38" s="12" t="s">
        <v>151</v>
      </c>
      <c r="C38" s="13" t="s">
        <v>152</v>
      </c>
      <c r="D38" s="14">
        <v>385.0</v>
      </c>
      <c r="E38" s="16"/>
      <c r="F38" s="14">
        <f t="shared" si="3"/>
        <v>385</v>
      </c>
      <c r="G38" s="19">
        <f t="shared" si="4"/>
        <v>5851</v>
      </c>
    </row>
    <row r="39">
      <c r="A39" s="12">
        <v>14.0</v>
      </c>
      <c r="B39" s="12" t="s">
        <v>151</v>
      </c>
      <c r="C39" s="13" t="s">
        <v>152</v>
      </c>
      <c r="D39" s="14">
        <v>350.0</v>
      </c>
      <c r="E39" s="16"/>
      <c r="F39" s="14">
        <f t="shared" si="3"/>
        <v>350</v>
      </c>
      <c r="G39" s="19">
        <f t="shared" si="4"/>
        <v>6201</v>
      </c>
    </row>
    <row r="40">
      <c r="A40" s="12">
        <v>15.0</v>
      </c>
      <c r="B40" s="12" t="s">
        <v>148</v>
      </c>
      <c r="C40" s="13" t="s">
        <v>149</v>
      </c>
      <c r="D40" s="14">
        <v>366.0</v>
      </c>
      <c r="E40" s="16"/>
      <c r="F40" s="14">
        <f t="shared" si="3"/>
        <v>366</v>
      </c>
      <c r="G40" s="19">
        <f t="shared" si="4"/>
        <v>6567</v>
      </c>
    </row>
    <row r="41">
      <c r="A41" s="12">
        <v>16.0</v>
      </c>
      <c r="B41" s="12" t="s">
        <v>151</v>
      </c>
      <c r="C41" s="13" t="s">
        <v>152</v>
      </c>
      <c r="D41" s="14">
        <v>385.0</v>
      </c>
      <c r="E41" s="16"/>
      <c r="F41" s="14">
        <f t="shared" si="3"/>
        <v>385</v>
      </c>
      <c r="G41" s="19">
        <f t="shared" si="4"/>
        <v>6952</v>
      </c>
    </row>
    <row r="42">
      <c r="A42" s="12">
        <v>17.0</v>
      </c>
      <c r="B42" s="12" t="s">
        <v>93</v>
      </c>
      <c r="C42" s="13" t="s">
        <v>108</v>
      </c>
      <c r="D42" s="14">
        <v>404.0</v>
      </c>
      <c r="E42" s="16"/>
      <c r="F42" s="14">
        <f t="shared" si="3"/>
        <v>404</v>
      </c>
      <c r="G42" s="19">
        <f t="shared" si="4"/>
        <v>7356</v>
      </c>
    </row>
    <row r="43">
      <c r="A43" s="12">
        <v>18.0</v>
      </c>
      <c r="B43" s="12" t="s">
        <v>153</v>
      </c>
      <c r="C43" s="13" t="s">
        <v>403</v>
      </c>
      <c r="D43" s="14">
        <v>722.0</v>
      </c>
      <c r="E43" s="14">
        <v>758.0</v>
      </c>
      <c r="F43" s="14">
        <f t="shared" si="3"/>
        <v>1480</v>
      </c>
      <c r="G43" s="19">
        <f t="shared" si="4"/>
        <v>8836</v>
      </c>
    </row>
    <row r="44">
      <c r="A44" s="12">
        <v>19.0</v>
      </c>
      <c r="B44" s="12" t="s">
        <v>165</v>
      </c>
      <c r="C44" s="13" t="s">
        <v>166</v>
      </c>
      <c r="D44" s="14">
        <v>2006.0</v>
      </c>
      <c r="E44" s="16"/>
      <c r="F44" s="14">
        <f t="shared" si="3"/>
        <v>2006</v>
      </c>
      <c r="G44" s="19">
        <f t="shared" si="4"/>
        <v>10842</v>
      </c>
    </row>
    <row r="45">
      <c r="A45" s="12">
        <v>20.0</v>
      </c>
      <c r="B45" s="12" t="s">
        <v>93</v>
      </c>
      <c r="C45" s="13" t="s">
        <v>108</v>
      </c>
      <c r="D45" s="14">
        <v>332.0</v>
      </c>
      <c r="E45" s="16"/>
      <c r="F45" s="14">
        <f t="shared" si="3"/>
        <v>332</v>
      </c>
      <c r="G45" s="19">
        <f t="shared" si="4"/>
        <v>11174</v>
      </c>
    </row>
    <row r="46">
      <c r="A46" s="12">
        <v>21.0</v>
      </c>
      <c r="B46" s="12" t="s">
        <v>157</v>
      </c>
      <c r="C46" s="13" t="s">
        <v>158</v>
      </c>
      <c r="D46" s="14">
        <v>350.0</v>
      </c>
      <c r="E46" s="16"/>
      <c r="F46" s="14">
        <f t="shared" si="3"/>
        <v>350</v>
      </c>
      <c r="G46" s="19">
        <f t="shared" si="4"/>
        <v>11524</v>
      </c>
    </row>
    <row r="47">
      <c r="A47" s="12">
        <v>22.0</v>
      </c>
      <c r="B47" s="12" t="s">
        <v>93</v>
      </c>
      <c r="C47" s="13" t="s">
        <v>108</v>
      </c>
      <c r="D47" s="14">
        <v>366.0</v>
      </c>
      <c r="E47" s="16"/>
      <c r="F47" s="14">
        <f t="shared" si="3"/>
        <v>366</v>
      </c>
      <c r="G47" s="19">
        <f t="shared" si="4"/>
        <v>11890</v>
      </c>
    </row>
    <row r="48">
      <c r="A48" s="12">
        <v>23.0</v>
      </c>
      <c r="B48" s="12" t="s">
        <v>148</v>
      </c>
      <c r="C48" s="13" t="s">
        <v>149</v>
      </c>
      <c r="D48" s="14">
        <v>385.0</v>
      </c>
      <c r="E48" s="16"/>
      <c r="F48" s="14">
        <f t="shared" si="3"/>
        <v>385</v>
      </c>
      <c r="G48" s="19">
        <f t="shared" si="4"/>
        <v>12275</v>
      </c>
    </row>
    <row r="49">
      <c r="A49" s="12">
        <v>24.0</v>
      </c>
      <c r="B49" s="12" t="s">
        <v>151</v>
      </c>
      <c r="C49" s="13" t="s">
        <v>152</v>
      </c>
      <c r="D49" s="14">
        <v>350.0</v>
      </c>
      <c r="E49" s="16"/>
      <c r="F49" s="14">
        <f t="shared" si="3"/>
        <v>350</v>
      </c>
      <c r="G49" s="19">
        <f t="shared" si="4"/>
        <v>12625</v>
      </c>
    </row>
    <row r="50">
      <c r="A50" s="12">
        <v>25.0</v>
      </c>
      <c r="B50" s="12" t="s">
        <v>151</v>
      </c>
      <c r="C50" s="13" t="s">
        <v>152</v>
      </c>
      <c r="D50" s="14">
        <v>366.0</v>
      </c>
      <c r="E50" s="16"/>
      <c r="F50" s="14">
        <f t="shared" si="3"/>
        <v>366</v>
      </c>
      <c r="G50" s="19">
        <f t="shared" si="4"/>
        <v>12991</v>
      </c>
    </row>
    <row r="51">
      <c r="A51" s="12">
        <v>26.0</v>
      </c>
      <c r="B51" s="12" t="s">
        <v>148</v>
      </c>
      <c r="C51" s="13" t="s">
        <v>149</v>
      </c>
      <c r="D51" s="14">
        <v>385.0</v>
      </c>
      <c r="E51" s="16"/>
      <c r="F51" s="14">
        <f t="shared" si="3"/>
        <v>385</v>
      </c>
      <c r="G51" s="19">
        <f t="shared" si="4"/>
        <v>13376</v>
      </c>
    </row>
    <row r="52">
      <c r="A52" s="12">
        <v>27.0</v>
      </c>
      <c r="B52" s="12" t="s">
        <v>99</v>
      </c>
      <c r="C52" s="13" t="s">
        <v>114</v>
      </c>
      <c r="D52" s="14">
        <v>404.0</v>
      </c>
      <c r="E52" s="16"/>
      <c r="F52" s="14">
        <f t="shared" si="3"/>
        <v>404</v>
      </c>
      <c r="G52" s="19">
        <f t="shared" si="4"/>
        <v>13780</v>
      </c>
    </row>
    <row r="53">
      <c r="A53" s="12">
        <v>28.0</v>
      </c>
      <c r="B53" s="12" t="s">
        <v>153</v>
      </c>
      <c r="C53" s="13" t="s">
        <v>403</v>
      </c>
      <c r="D53" s="14">
        <v>722.0</v>
      </c>
      <c r="E53" s="14">
        <v>758.0</v>
      </c>
      <c r="F53" s="14">
        <f t="shared" si="3"/>
        <v>1480</v>
      </c>
      <c r="G53" s="19">
        <f t="shared" si="4"/>
        <v>15260</v>
      </c>
    </row>
    <row r="54">
      <c r="A54" s="24"/>
      <c r="B54" s="24"/>
      <c r="C54" s="26"/>
      <c r="D54" s="27">
        <v>31.0</v>
      </c>
      <c r="E54" s="28"/>
      <c r="F54" s="27">
        <f>SUM(F26:F53)</f>
        <v>15260</v>
      </c>
      <c r="G54" s="29">
        <f>G53</f>
        <v>15260</v>
      </c>
    </row>
    <row r="55">
      <c r="C55" s="30"/>
      <c r="G55" s="30"/>
    </row>
    <row r="56">
      <c r="A56" s="4" t="s">
        <v>408</v>
      </c>
      <c r="B56" s="5"/>
      <c r="C56" s="5"/>
      <c r="D56" s="5"/>
      <c r="E56" s="5"/>
      <c r="F56" s="5"/>
      <c r="G56" s="6"/>
    </row>
    <row r="57">
      <c r="A57" s="7"/>
      <c r="B57" s="8"/>
      <c r="C57" s="8"/>
      <c r="D57" s="8"/>
      <c r="E57" s="8"/>
      <c r="F57" s="8"/>
      <c r="G57" s="9"/>
    </row>
    <row r="58">
      <c r="A58" s="10"/>
      <c r="B58" s="10" t="s">
        <v>6</v>
      </c>
      <c r="C58" s="11" t="s">
        <v>7</v>
      </c>
      <c r="D58" s="10" t="s">
        <v>8</v>
      </c>
      <c r="E58" s="10" t="s">
        <v>9</v>
      </c>
      <c r="F58" s="10" t="s">
        <v>10</v>
      </c>
      <c r="G58" s="11" t="s">
        <v>11</v>
      </c>
    </row>
    <row r="59">
      <c r="A59" s="12">
        <v>1.0</v>
      </c>
      <c r="B59" s="12" t="s">
        <v>67</v>
      </c>
      <c r="C59" s="13" t="s">
        <v>176</v>
      </c>
      <c r="D59" s="14">
        <v>633.0</v>
      </c>
      <c r="E59" s="16"/>
      <c r="F59" s="14">
        <f t="shared" ref="F59:F92" si="5">SUM(D59:E59)</f>
        <v>633</v>
      </c>
      <c r="G59" s="19">
        <f>F59</f>
        <v>633</v>
      </c>
    </row>
    <row r="60">
      <c r="A60" s="12">
        <v>2.0</v>
      </c>
      <c r="B60" s="12" t="s">
        <v>104</v>
      </c>
      <c r="C60" s="13" t="s">
        <v>119</v>
      </c>
      <c r="D60" s="14">
        <v>666.0</v>
      </c>
      <c r="E60" s="16"/>
      <c r="F60" s="14">
        <f t="shared" si="5"/>
        <v>666</v>
      </c>
      <c r="G60" s="19">
        <f t="shared" ref="G60:G92" si="6">G59+F60</f>
        <v>1299</v>
      </c>
    </row>
    <row r="61">
      <c r="A61" s="12">
        <v>3.0</v>
      </c>
      <c r="B61" s="12" t="s">
        <v>170</v>
      </c>
      <c r="C61" s="13" t="s">
        <v>171</v>
      </c>
      <c r="D61" s="14">
        <v>700.0</v>
      </c>
      <c r="E61" s="16"/>
      <c r="F61" s="14">
        <f t="shared" si="5"/>
        <v>700</v>
      </c>
      <c r="G61" s="19">
        <f t="shared" si="6"/>
        <v>1999</v>
      </c>
    </row>
    <row r="62">
      <c r="A62" s="12">
        <v>4.0</v>
      </c>
      <c r="B62" s="12" t="s">
        <v>170</v>
      </c>
      <c r="C62" s="13" t="s">
        <v>171</v>
      </c>
      <c r="D62" s="14">
        <v>735.0</v>
      </c>
      <c r="E62" s="16"/>
      <c r="F62" s="14">
        <f t="shared" si="5"/>
        <v>735</v>
      </c>
      <c r="G62" s="19">
        <f t="shared" si="6"/>
        <v>2734</v>
      </c>
    </row>
    <row r="63">
      <c r="A63" s="12">
        <v>5.0</v>
      </c>
      <c r="B63" s="12" t="s">
        <v>177</v>
      </c>
      <c r="C63" s="13" t="s">
        <v>178</v>
      </c>
      <c r="D63" s="14">
        <v>771.0</v>
      </c>
      <c r="E63" s="16"/>
      <c r="F63" s="14">
        <f t="shared" si="5"/>
        <v>771</v>
      </c>
      <c r="G63" s="19">
        <f t="shared" si="6"/>
        <v>3505</v>
      </c>
    </row>
    <row r="64">
      <c r="A64" s="12">
        <v>6.0</v>
      </c>
      <c r="B64" s="12" t="s">
        <v>170</v>
      </c>
      <c r="C64" s="13" t="s">
        <v>171</v>
      </c>
      <c r="D64" s="14">
        <v>810.0</v>
      </c>
      <c r="E64" s="16"/>
      <c r="F64" s="14">
        <f t="shared" si="5"/>
        <v>810</v>
      </c>
      <c r="G64" s="19">
        <f t="shared" si="6"/>
        <v>4315</v>
      </c>
    </row>
    <row r="65">
      <c r="A65" s="12">
        <v>7.0</v>
      </c>
      <c r="B65" s="12" t="s">
        <v>104</v>
      </c>
      <c r="C65" s="13" t="s">
        <v>119</v>
      </c>
      <c r="D65" s="14">
        <v>849.0</v>
      </c>
      <c r="E65" s="16"/>
      <c r="F65" s="14">
        <f t="shared" si="5"/>
        <v>849</v>
      </c>
      <c r="G65" s="19">
        <f t="shared" si="6"/>
        <v>5164</v>
      </c>
    </row>
    <row r="66">
      <c r="A66" s="12">
        <v>8.0</v>
      </c>
      <c r="B66" s="12" t="s">
        <v>177</v>
      </c>
      <c r="C66" s="13" t="s">
        <v>178</v>
      </c>
      <c r="D66" s="14">
        <v>892.0</v>
      </c>
      <c r="E66" s="16"/>
      <c r="F66" s="14">
        <f t="shared" si="5"/>
        <v>892</v>
      </c>
      <c r="G66" s="19">
        <f t="shared" si="6"/>
        <v>6056</v>
      </c>
    </row>
    <row r="67">
      <c r="A67" s="12">
        <v>9.0</v>
      </c>
      <c r="B67" s="12" t="s">
        <v>106</v>
      </c>
      <c r="C67" s="13" t="s">
        <v>122</v>
      </c>
      <c r="D67" s="14">
        <v>633.0</v>
      </c>
      <c r="E67" s="16"/>
      <c r="F67" s="14">
        <f t="shared" si="5"/>
        <v>633</v>
      </c>
      <c r="G67" s="19">
        <f t="shared" si="6"/>
        <v>6689</v>
      </c>
    </row>
    <row r="68">
      <c r="A68" s="12">
        <v>10.0</v>
      </c>
      <c r="B68" s="12" t="s">
        <v>170</v>
      </c>
      <c r="C68" s="13" t="s">
        <v>171</v>
      </c>
      <c r="D68" s="14">
        <v>666.0</v>
      </c>
      <c r="E68" s="16"/>
      <c r="F68" s="14">
        <f t="shared" si="5"/>
        <v>666</v>
      </c>
      <c r="G68" s="19">
        <f t="shared" si="6"/>
        <v>7355</v>
      </c>
    </row>
    <row r="69">
      <c r="A69" s="12">
        <v>11.0</v>
      </c>
      <c r="B69" s="12" t="s">
        <v>106</v>
      </c>
      <c r="C69" s="13" t="s">
        <v>122</v>
      </c>
      <c r="D69" s="14">
        <v>700.0</v>
      </c>
      <c r="E69" s="16"/>
      <c r="F69" s="14">
        <f t="shared" si="5"/>
        <v>700</v>
      </c>
      <c r="G69" s="19">
        <f t="shared" si="6"/>
        <v>8055</v>
      </c>
    </row>
    <row r="70">
      <c r="A70" s="12">
        <v>12.0</v>
      </c>
      <c r="B70" s="12" t="s">
        <v>177</v>
      </c>
      <c r="C70" s="13" t="s">
        <v>178</v>
      </c>
      <c r="D70" s="14">
        <v>633.0</v>
      </c>
      <c r="E70" s="16"/>
      <c r="F70" s="14">
        <f t="shared" si="5"/>
        <v>633</v>
      </c>
      <c r="G70" s="19">
        <f t="shared" si="6"/>
        <v>8688</v>
      </c>
    </row>
    <row r="71">
      <c r="A71" s="12">
        <v>13.0</v>
      </c>
      <c r="B71" s="12" t="s">
        <v>170</v>
      </c>
      <c r="C71" s="13" t="s">
        <v>171</v>
      </c>
      <c r="D71" s="14">
        <v>666.0</v>
      </c>
      <c r="E71" s="16"/>
      <c r="F71" s="14">
        <f t="shared" si="5"/>
        <v>666</v>
      </c>
      <c r="G71" s="19">
        <f t="shared" si="6"/>
        <v>9354</v>
      </c>
    </row>
    <row r="72">
      <c r="A72" s="12">
        <v>14.0</v>
      </c>
      <c r="B72" s="12" t="s">
        <v>67</v>
      </c>
      <c r="C72" s="13" t="s">
        <v>176</v>
      </c>
      <c r="D72" s="14">
        <v>700.0</v>
      </c>
      <c r="E72" s="16"/>
      <c r="F72" s="14">
        <f t="shared" si="5"/>
        <v>700</v>
      </c>
      <c r="G72" s="19">
        <f t="shared" si="6"/>
        <v>10054</v>
      </c>
    </row>
    <row r="73">
      <c r="A73" s="12">
        <v>15.0</v>
      </c>
      <c r="B73" s="12" t="s">
        <v>67</v>
      </c>
      <c r="C73" s="13" t="s">
        <v>176</v>
      </c>
      <c r="D73" s="14">
        <v>735.0</v>
      </c>
      <c r="E73" s="16"/>
      <c r="F73" s="14">
        <f t="shared" si="5"/>
        <v>735</v>
      </c>
      <c r="G73" s="19">
        <f t="shared" si="6"/>
        <v>10789</v>
      </c>
    </row>
    <row r="74">
      <c r="A74" s="12">
        <v>16.0</v>
      </c>
      <c r="B74" s="12" t="s">
        <v>67</v>
      </c>
      <c r="C74" s="13" t="s">
        <v>176</v>
      </c>
      <c r="D74" s="14">
        <v>771.0</v>
      </c>
      <c r="E74" s="16"/>
      <c r="F74" s="14">
        <f t="shared" si="5"/>
        <v>771</v>
      </c>
      <c r="G74" s="19">
        <f t="shared" si="6"/>
        <v>11560</v>
      </c>
    </row>
    <row r="75">
      <c r="A75" s="12">
        <v>17.0</v>
      </c>
      <c r="B75" s="12" t="s">
        <v>170</v>
      </c>
      <c r="C75" s="13" t="s">
        <v>171</v>
      </c>
      <c r="D75" s="14">
        <v>633.0</v>
      </c>
      <c r="E75" s="16"/>
      <c r="F75" s="14">
        <f t="shared" si="5"/>
        <v>633</v>
      </c>
      <c r="G75" s="19">
        <f t="shared" si="6"/>
        <v>12193</v>
      </c>
    </row>
    <row r="76">
      <c r="A76" s="12">
        <v>18.0</v>
      </c>
      <c r="B76" s="12" t="s">
        <v>170</v>
      </c>
      <c r="C76" s="13" t="s">
        <v>171</v>
      </c>
      <c r="D76" s="14">
        <v>666.0</v>
      </c>
      <c r="E76" s="16"/>
      <c r="F76" s="14">
        <f t="shared" si="5"/>
        <v>666</v>
      </c>
      <c r="G76" s="19">
        <f t="shared" si="6"/>
        <v>12859</v>
      </c>
    </row>
    <row r="77">
      <c r="A77" s="12">
        <v>19.0</v>
      </c>
      <c r="B77" s="12" t="s">
        <v>170</v>
      </c>
      <c r="C77" s="13" t="s">
        <v>171</v>
      </c>
      <c r="D77" s="14">
        <v>700.0</v>
      </c>
      <c r="E77" s="16"/>
      <c r="F77" s="14">
        <f t="shared" si="5"/>
        <v>700</v>
      </c>
      <c r="G77" s="19">
        <f t="shared" si="6"/>
        <v>13559</v>
      </c>
    </row>
    <row r="78">
      <c r="A78" s="12">
        <v>20.0</v>
      </c>
      <c r="B78" s="12" t="s">
        <v>177</v>
      </c>
      <c r="C78" s="13" t="s">
        <v>178</v>
      </c>
      <c r="D78" s="14">
        <v>735.0</v>
      </c>
      <c r="E78" s="16"/>
      <c r="F78" s="14">
        <f t="shared" si="5"/>
        <v>735</v>
      </c>
      <c r="G78" s="19">
        <f t="shared" si="6"/>
        <v>14294</v>
      </c>
    </row>
    <row r="79">
      <c r="A79" s="12">
        <v>21.0</v>
      </c>
      <c r="B79" s="12" t="s">
        <v>170</v>
      </c>
      <c r="C79" s="13" t="s">
        <v>171</v>
      </c>
      <c r="D79" s="14">
        <v>771.0</v>
      </c>
      <c r="E79" s="16"/>
      <c r="F79" s="14">
        <f t="shared" si="5"/>
        <v>771</v>
      </c>
      <c r="G79" s="19">
        <f t="shared" si="6"/>
        <v>15065</v>
      </c>
    </row>
    <row r="80">
      <c r="A80" s="12">
        <v>22.0</v>
      </c>
      <c r="B80" s="12" t="s">
        <v>180</v>
      </c>
      <c r="C80" s="13" t="s">
        <v>412</v>
      </c>
      <c r="D80" s="14">
        <v>1376.0</v>
      </c>
      <c r="E80" s="14">
        <v>1446.0</v>
      </c>
      <c r="F80" s="14">
        <f t="shared" si="5"/>
        <v>2822</v>
      </c>
      <c r="G80" s="19">
        <f t="shared" si="6"/>
        <v>17887</v>
      </c>
    </row>
    <row r="81">
      <c r="A81" s="12">
        <v>23.0</v>
      </c>
      <c r="B81" s="12" t="s">
        <v>67</v>
      </c>
      <c r="C81" s="13" t="s">
        <v>176</v>
      </c>
      <c r="D81" s="14">
        <v>633.0</v>
      </c>
      <c r="E81" s="16"/>
      <c r="F81" s="14">
        <f t="shared" si="5"/>
        <v>633</v>
      </c>
      <c r="G81" s="19">
        <f t="shared" si="6"/>
        <v>18520</v>
      </c>
    </row>
    <row r="82">
      <c r="A82" s="12">
        <v>24.0</v>
      </c>
      <c r="B82" s="12" t="s">
        <v>67</v>
      </c>
      <c r="C82" s="13" t="s">
        <v>176</v>
      </c>
      <c r="D82" s="14">
        <v>666.0</v>
      </c>
      <c r="E82" s="16"/>
      <c r="F82" s="14">
        <f t="shared" si="5"/>
        <v>666</v>
      </c>
      <c r="G82" s="19">
        <f t="shared" si="6"/>
        <v>19186</v>
      </c>
    </row>
    <row r="83">
      <c r="A83" s="12">
        <v>25.0</v>
      </c>
      <c r="B83" s="12" t="s">
        <v>106</v>
      </c>
      <c r="C83" s="13" t="s">
        <v>122</v>
      </c>
      <c r="D83" s="14">
        <v>633.0</v>
      </c>
      <c r="E83" s="16"/>
      <c r="F83" s="14">
        <f t="shared" si="5"/>
        <v>633</v>
      </c>
      <c r="G83" s="19">
        <f t="shared" si="6"/>
        <v>19819</v>
      </c>
    </row>
    <row r="84">
      <c r="A84" s="12">
        <v>26.0</v>
      </c>
      <c r="B84" s="12" t="s">
        <v>67</v>
      </c>
      <c r="C84" s="13" t="s">
        <v>176</v>
      </c>
      <c r="D84" s="14">
        <v>666.0</v>
      </c>
      <c r="E84" s="16"/>
      <c r="F84" s="14">
        <f t="shared" si="5"/>
        <v>666</v>
      </c>
      <c r="G84" s="19">
        <f t="shared" si="6"/>
        <v>20485</v>
      </c>
    </row>
    <row r="85">
      <c r="A85" s="12">
        <v>27.0</v>
      </c>
      <c r="B85" s="12" t="s">
        <v>67</v>
      </c>
      <c r="C85" s="13" t="s">
        <v>176</v>
      </c>
      <c r="D85" s="14">
        <v>700.0</v>
      </c>
      <c r="E85" s="16"/>
      <c r="F85" s="14">
        <f t="shared" si="5"/>
        <v>700</v>
      </c>
      <c r="G85" s="19">
        <f t="shared" si="6"/>
        <v>21185</v>
      </c>
    </row>
    <row r="86">
      <c r="A86" s="12">
        <v>28.0</v>
      </c>
      <c r="B86" s="12" t="s">
        <v>173</v>
      </c>
      <c r="C86" s="13" t="s">
        <v>174</v>
      </c>
      <c r="D86" s="14">
        <v>735.0</v>
      </c>
      <c r="E86" s="16"/>
      <c r="F86" s="14">
        <f t="shared" si="5"/>
        <v>735</v>
      </c>
      <c r="G86" s="19">
        <f t="shared" si="6"/>
        <v>21920</v>
      </c>
    </row>
    <row r="87">
      <c r="A87" s="12">
        <v>29.0</v>
      </c>
      <c r="B87" s="12" t="s">
        <v>67</v>
      </c>
      <c r="C87" s="13" t="s">
        <v>176</v>
      </c>
      <c r="D87" s="14">
        <v>771.0</v>
      </c>
      <c r="E87" s="16"/>
      <c r="F87" s="14">
        <f t="shared" si="5"/>
        <v>771</v>
      </c>
      <c r="G87" s="19">
        <f t="shared" si="6"/>
        <v>22691</v>
      </c>
    </row>
    <row r="88">
      <c r="A88" s="12">
        <v>30.0</v>
      </c>
      <c r="B88" s="12" t="s">
        <v>173</v>
      </c>
      <c r="C88" s="13" t="s">
        <v>174</v>
      </c>
      <c r="D88" s="14">
        <v>810.0</v>
      </c>
      <c r="E88" s="16"/>
      <c r="F88" s="14">
        <f t="shared" si="5"/>
        <v>810</v>
      </c>
      <c r="G88" s="19">
        <f t="shared" si="6"/>
        <v>23501</v>
      </c>
    </row>
    <row r="89">
      <c r="A89" s="12">
        <v>31.0</v>
      </c>
      <c r="B89" s="12" t="s">
        <v>104</v>
      </c>
      <c r="C89" s="13" t="s">
        <v>119</v>
      </c>
      <c r="D89" s="14">
        <v>849.0</v>
      </c>
      <c r="E89" s="16"/>
      <c r="F89" s="14">
        <f t="shared" si="5"/>
        <v>849</v>
      </c>
      <c r="G89" s="19">
        <f t="shared" si="6"/>
        <v>24350</v>
      </c>
    </row>
    <row r="90">
      <c r="A90" s="12">
        <v>32.0</v>
      </c>
      <c r="B90" s="12" t="s">
        <v>173</v>
      </c>
      <c r="C90" s="13" t="s">
        <v>174</v>
      </c>
      <c r="D90" s="14">
        <v>892.0</v>
      </c>
      <c r="E90" s="16"/>
      <c r="F90" s="14">
        <f t="shared" si="5"/>
        <v>892</v>
      </c>
      <c r="G90" s="19">
        <f t="shared" si="6"/>
        <v>25242</v>
      </c>
    </row>
    <row r="91">
      <c r="A91" s="12">
        <v>33.0</v>
      </c>
      <c r="B91" s="12" t="s">
        <v>173</v>
      </c>
      <c r="C91" s="13" t="s">
        <v>174</v>
      </c>
      <c r="D91" s="14">
        <v>700.0</v>
      </c>
      <c r="E91" s="16"/>
      <c r="F91" s="14">
        <f t="shared" si="5"/>
        <v>700</v>
      </c>
      <c r="G91" s="19">
        <f t="shared" si="6"/>
        <v>25942</v>
      </c>
    </row>
    <row r="92">
      <c r="A92" s="12">
        <v>34.0</v>
      </c>
      <c r="B92" s="12" t="s">
        <v>322</v>
      </c>
      <c r="C92" s="13" t="s">
        <v>323</v>
      </c>
      <c r="D92" s="14">
        <v>3305.0</v>
      </c>
      <c r="E92" s="16"/>
      <c r="F92" s="14">
        <f t="shared" si="5"/>
        <v>3305</v>
      </c>
      <c r="G92" s="19">
        <f t="shared" si="6"/>
        <v>29247</v>
      </c>
    </row>
    <row r="93">
      <c r="A93" s="24"/>
      <c r="B93" s="24"/>
      <c r="C93" s="26"/>
      <c r="D93" s="27">
        <v>35.0</v>
      </c>
      <c r="E93" s="28"/>
      <c r="F93" s="27">
        <f>SUM(F59:F92)</f>
        <v>29247</v>
      </c>
      <c r="G93" s="29">
        <f>G92</f>
        <v>29247</v>
      </c>
    </row>
    <row r="94">
      <c r="C94" s="30"/>
      <c r="G94" s="30"/>
    </row>
    <row r="95">
      <c r="A95" s="4" t="s">
        <v>413</v>
      </c>
      <c r="B95" s="5"/>
      <c r="C95" s="5"/>
      <c r="D95" s="5"/>
      <c r="E95" s="5"/>
      <c r="F95" s="5"/>
      <c r="G95" s="6"/>
    </row>
    <row r="96">
      <c r="A96" s="7"/>
      <c r="B96" s="8"/>
      <c r="C96" s="8"/>
      <c r="D96" s="8"/>
      <c r="E96" s="8"/>
      <c r="F96" s="8"/>
      <c r="G96" s="9"/>
    </row>
    <row r="97">
      <c r="A97" s="10"/>
      <c r="B97" s="10" t="s">
        <v>6</v>
      </c>
      <c r="C97" s="11" t="s">
        <v>7</v>
      </c>
      <c r="D97" s="10" t="s">
        <v>8</v>
      </c>
      <c r="E97" s="10" t="s">
        <v>9</v>
      </c>
      <c r="F97" s="10" t="s">
        <v>10</v>
      </c>
      <c r="G97" s="11" t="s">
        <v>11</v>
      </c>
    </row>
    <row r="98">
      <c r="A98" s="12">
        <v>1.0</v>
      </c>
      <c r="B98" s="12" t="s">
        <v>226</v>
      </c>
      <c r="C98" s="13" t="s">
        <v>338</v>
      </c>
      <c r="D98" s="14">
        <v>779.0</v>
      </c>
      <c r="E98" s="16"/>
      <c r="F98" s="14">
        <f t="shared" ref="F98:F131" si="7">SUM(D98:E98)</f>
        <v>779</v>
      </c>
      <c r="G98" s="19">
        <f>F98</f>
        <v>779</v>
      </c>
    </row>
    <row r="99">
      <c r="A99" s="12">
        <v>2.0</v>
      </c>
      <c r="B99" s="12" t="s">
        <v>234</v>
      </c>
      <c r="C99" s="13" t="s">
        <v>341</v>
      </c>
      <c r="D99" s="14">
        <v>818.0</v>
      </c>
      <c r="E99" s="16"/>
      <c r="F99" s="14">
        <f t="shared" si="7"/>
        <v>818</v>
      </c>
      <c r="G99" s="19">
        <f t="shared" ref="G99:G131" si="8">G98+F99</f>
        <v>1597</v>
      </c>
    </row>
    <row r="100">
      <c r="A100" s="12">
        <v>3.0</v>
      </c>
      <c r="B100" s="12" t="s">
        <v>234</v>
      </c>
      <c r="C100" s="13" t="s">
        <v>341</v>
      </c>
      <c r="D100" s="14">
        <v>860.0</v>
      </c>
      <c r="E100" s="16"/>
      <c r="F100" s="14">
        <f t="shared" si="7"/>
        <v>860</v>
      </c>
      <c r="G100" s="19">
        <f t="shared" si="8"/>
        <v>2457</v>
      </c>
    </row>
    <row r="101">
      <c r="A101" s="12">
        <v>4.0</v>
      </c>
      <c r="B101" s="12" t="s">
        <v>234</v>
      </c>
      <c r="C101" s="13" t="s">
        <v>341</v>
      </c>
      <c r="D101" s="14">
        <v>902.0</v>
      </c>
      <c r="E101" s="16"/>
      <c r="F101" s="14">
        <f t="shared" si="7"/>
        <v>902</v>
      </c>
      <c r="G101" s="19">
        <f t="shared" si="8"/>
        <v>3359</v>
      </c>
    </row>
    <row r="102">
      <c r="A102" s="12">
        <v>5.0</v>
      </c>
      <c r="B102" s="12" t="s">
        <v>226</v>
      </c>
      <c r="C102" s="13" t="s">
        <v>338</v>
      </c>
      <c r="D102" s="14">
        <v>818.0</v>
      </c>
      <c r="E102" s="16"/>
      <c r="F102" s="14">
        <f t="shared" si="7"/>
        <v>818</v>
      </c>
      <c r="G102" s="19">
        <f t="shared" si="8"/>
        <v>4177</v>
      </c>
    </row>
    <row r="103">
      <c r="A103" s="12">
        <v>6.0</v>
      </c>
      <c r="B103" s="12" t="s">
        <v>242</v>
      </c>
      <c r="C103" s="13" t="s">
        <v>340</v>
      </c>
      <c r="D103" s="14">
        <v>860.0</v>
      </c>
      <c r="E103" s="16"/>
      <c r="F103" s="14">
        <f t="shared" si="7"/>
        <v>860</v>
      </c>
      <c r="G103" s="19">
        <f t="shared" si="8"/>
        <v>5037</v>
      </c>
    </row>
    <row r="104">
      <c r="A104" s="12">
        <v>7.0</v>
      </c>
      <c r="B104" s="12" t="s">
        <v>242</v>
      </c>
      <c r="C104" s="13" t="s">
        <v>340</v>
      </c>
      <c r="D104" s="14">
        <v>902.0</v>
      </c>
      <c r="E104" s="16"/>
      <c r="F104" s="14">
        <f t="shared" si="7"/>
        <v>902</v>
      </c>
      <c r="G104" s="19">
        <f t="shared" si="8"/>
        <v>5939</v>
      </c>
    </row>
    <row r="105">
      <c r="A105" s="12">
        <v>8.0</v>
      </c>
      <c r="B105" s="12" t="s">
        <v>237</v>
      </c>
      <c r="C105" s="13" t="s">
        <v>339</v>
      </c>
      <c r="D105" s="14">
        <v>818.0</v>
      </c>
      <c r="E105" s="16"/>
      <c r="F105" s="14">
        <f t="shared" si="7"/>
        <v>818</v>
      </c>
      <c r="G105" s="19">
        <f t="shared" si="8"/>
        <v>6757</v>
      </c>
    </row>
    <row r="106">
      <c r="A106" s="12">
        <v>9.0</v>
      </c>
      <c r="B106" s="12" t="s">
        <v>237</v>
      </c>
      <c r="C106" s="13" t="s">
        <v>339</v>
      </c>
      <c r="D106" s="14">
        <v>860.0</v>
      </c>
      <c r="E106" s="16"/>
      <c r="F106" s="14">
        <f t="shared" si="7"/>
        <v>860</v>
      </c>
      <c r="G106" s="19">
        <f t="shared" si="8"/>
        <v>7617</v>
      </c>
    </row>
    <row r="107">
      <c r="A107" s="12">
        <v>10.0</v>
      </c>
      <c r="B107" s="12" t="s">
        <v>237</v>
      </c>
      <c r="C107" s="13" t="s">
        <v>339</v>
      </c>
      <c r="D107" s="14">
        <v>902.0</v>
      </c>
      <c r="E107" s="16"/>
      <c r="F107" s="14">
        <f t="shared" si="7"/>
        <v>902</v>
      </c>
      <c r="G107" s="19">
        <f t="shared" si="8"/>
        <v>8519</v>
      </c>
    </row>
    <row r="108">
      <c r="A108" s="12">
        <v>11.0</v>
      </c>
      <c r="B108" s="12" t="s">
        <v>244</v>
      </c>
      <c r="C108" s="13" t="s">
        <v>342</v>
      </c>
      <c r="D108" s="14">
        <v>1610.0</v>
      </c>
      <c r="E108" s="14">
        <v>1691.0</v>
      </c>
      <c r="F108" s="14">
        <f t="shared" si="7"/>
        <v>3301</v>
      </c>
      <c r="G108" s="19">
        <f t="shared" si="8"/>
        <v>11820</v>
      </c>
    </row>
    <row r="109">
      <c r="A109" s="12">
        <v>12.0</v>
      </c>
      <c r="B109" s="12" t="s">
        <v>214</v>
      </c>
      <c r="C109" s="13" t="s">
        <v>333</v>
      </c>
      <c r="D109" s="14">
        <v>779.0</v>
      </c>
      <c r="E109" s="16"/>
      <c r="F109" s="14">
        <f t="shared" si="7"/>
        <v>779</v>
      </c>
      <c r="G109" s="19">
        <f t="shared" si="8"/>
        <v>12599</v>
      </c>
    </row>
    <row r="110">
      <c r="A110" s="12">
        <v>13.0</v>
      </c>
      <c r="B110" s="12" t="s">
        <v>157</v>
      </c>
      <c r="C110" s="13" t="s">
        <v>336</v>
      </c>
      <c r="D110" s="14">
        <v>818.0</v>
      </c>
      <c r="E110" s="16"/>
      <c r="F110" s="14">
        <f t="shared" si="7"/>
        <v>818</v>
      </c>
      <c r="G110" s="19">
        <f t="shared" si="8"/>
        <v>13417</v>
      </c>
    </row>
    <row r="111">
      <c r="A111" s="12">
        <v>14.0</v>
      </c>
      <c r="B111" s="12" t="s">
        <v>157</v>
      </c>
      <c r="C111" s="13" t="s">
        <v>336</v>
      </c>
      <c r="D111" s="14">
        <v>860.0</v>
      </c>
      <c r="E111" s="16"/>
      <c r="F111" s="14">
        <f t="shared" si="7"/>
        <v>860</v>
      </c>
      <c r="G111" s="19">
        <f t="shared" si="8"/>
        <v>14277</v>
      </c>
    </row>
    <row r="112">
      <c r="A112" s="12">
        <v>15.0</v>
      </c>
      <c r="B112" s="12" t="s">
        <v>157</v>
      </c>
      <c r="C112" s="13" t="s">
        <v>336</v>
      </c>
      <c r="D112" s="14">
        <v>902.0</v>
      </c>
      <c r="E112" s="16"/>
      <c r="F112" s="14">
        <f t="shared" si="7"/>
        <v>902</v>
      </c>
      <c r="G112" s="19">
        <f t="shared" si="8"/>
        <v>15179</v>
      </c>
    </row>
    <row r="113">
      <c r="A113" s="12">
        <v>16.0</v>
      </c>
      <c r="B113" s="12" t="s">
        <v>214</v>
      </c>
      <c r="C113" s="13" t="s">
        <v>333</v>
      </c>
      <c r="D113" s="14">
        <v>818.0</v>
      </c>
      <c r="E113" s="16"/>
      <c r="F113" s="14">
        <f t="shared" si="7"/>
        <v>818</v>
      </c>
      <c r="G113" s="19">
        <f t="shared" si="8"/>
        <v>15997</v>
      </c>
    </row>
    <row r="114">
      <c r="A114" s="12">
        <v>17.0</v>
      </c>
      <c r="B114" s="12" t="s">
        <v>224</v>
      </c>
      <c r="C114" s="13" t="s">
        <v>335</v>
      </c>
      <c r="D114" s="14">
        <v>860.0</v>
      </c>
      <c r="E114" s="16"/>
      <c r="F114" s="14">
        <f t="shared" si="7"/>
        <v>860</v>
      </c>
      <c r="G114" s="19">
        <f t="shared" si="8"/>
        <v>16857</v>
      </c>
    </row>
    <row r="115">
      <c r="A115" s="12">
        <v>18.0</v>
      </c>
      <c r="B115" s="12" t="s">
        <v>224</v>
      </c>
      <c r="C115" s="13" t="s">
        <v>335</v>
      </c>
      <c r="D115" s="14">
        <v>902.0</v>
      </c>
      <c r="E115" s="16"/>
      <c r="F115" s="14">
        <f t="shared" si="7"/>
        <v>902</v>
      </c>
      <c r="G115" s="19">
        <f t="shared" si="8"/>
        <v>17759</v>
      </c>
    </row>
    <row r="116">
      <c r="A116" s="12">
        <v>19.0</v>
      </c>
      <c r="B116" s="12" t="s">
        <v>218</v>
      </c>
      <c r="C116" s="13" t="s">
        <v>334</v>
      </c>
      <c r="D116" s="14">
        <v>818.0</v>
      </c>
      <c r="E116" s="16"/>
      <c r="F116" s="14">
        <f t="shared" si="7"/>
        <v>818</v>
      </c>
      <c r="G116" s="19">
        <f t="shared" si="8"/>
        <v>18577</v>
      </c>
    </row>
    <row r="117">
      <c r="A117" s="12">
        <v>20.0</v>
      </c>
      <c r="B117" s="12" t="s">
        <v>218</v>
      </c>
      <c r="C117" s="13" t="s">
        <v>334</v>
      </c>
      <c r="D117" s="14">
        <v>860.0</v>
      </c>
      <c r="E117" s="16"/>
      <c r="F117" s="14">
        <f t="shared" si="7"/>
        <v>860</v>
      </c>
      <c r="G117" s="19">
        <f t="shared" si="8"/>
        <v>19437</v>
      </c>
    </row>
    <row r="118">
      <c r="A118" s="12">
        <v>21.0</v>
      </c>
      <c r="B118" s="12" t="s">
        <v>218</v>
      </c>
      <c r="C118" s="13" t="s">
        <v>334</v>
      </c>
      <c r="D118" s="14">
        <v>902.0</v>
      </c>
      <c r="E118" s="16"/>
      <c r="F118" s="14">
        <f t="shared" si="7"/>
        <v>902</v>
      </c>
      <c r="G118" s="19">
        <f t="shared" si="8"/>
        <v>20339</v>
      </c>
    </row>
    <row r="119">
      <c r="A119" s="12">
        <v>22.0</v>
      </c>
      <c r="B119" s="12" t="s">
        <v>230</v>
      </c>
      <c r="C119" s="13" t="s">
        <v>337</v>
      </c>
      <c r="D119" s="14">
        <v>1610.0</v>
      </c>
      <c r="E119" s="14">
        <v>1691.0</v>
      </c>
      <c r="F119" s="14">
        <f t="shared" si="7"/>
        <v>3301</v>
      </c>
      <c r="G119" s="19">
        <f t="shared" si="8"/>
        <v>23640</v>
      </c>
    </row>
    <row r="120">
      <c r="A120" s="12">
        <v>23.0</v>
      </c>
      <c r="B120" s="12" t="s">
        <v>200</v>
      </c>
      <c r="C120" s="13" t="s">
        <v>328</v>
      </c>
      <c r="D120" s="14">
        <v>779.0</v>
      </c>
      <c r="E120" s="16"/>
      <c r="F120" s="14">
        <f t="shared" si="7"/>
        <v>779</v>
      </c>
      <c r="G120" s="19">
        <f t="shared" si="8"/>
        <v>24419</v>
      </c>
    </row>
    <row r="121">
      <c r="A121" s="12">
        <v>24.0</v>
      </c>
      <c r="B121" s="12" t="s">
        <v>206</v>
      </c>
      <c r="C121" s="13" t="s">
        <v>331</v>
      </c>
      <c r="D121" s="14">
        <v>818.0</v>
      </c>
      <c r="E121" s="16"/>
      <c r="F121" s="14">
        <f t="shared" si="7"/>
        <v>818</v>
      </c>
      <c r="G121" s="19">
        <f t="shared" si="8"/>
        <v>25237</v>
      </c>
    </row>
    <row r="122">
      <c r="A122" s="12">
        <v>25.0</v>
      </c>
      <c r="B122" s="12" t="s">
        <v>206</v>
      </c>
      <c r="C122" s="13" t="s">
        <v>331</v>
      </c>
      <c r="D122" s="14">
        <v>860.0</v>
      </c>
      <c r="E122" s="16"/>
      <c r="F122" s="14">
        <f t="shared" si="7"/>
        <v>860</v>
      </c>
      <c r="G122" s="19">
        <f t="shared" si="8"/>
        <v>26097</v>
      </c>
    </row>
    <row r="123">
      <c r="A123" s="12">
        <v>26.0</v>
      </c>
      <c r="B123" s="12" t="s">
        <v>206</v>
      </c>
      <c r="C123" s="13" t="s">
        <v>331</v>
      </c>
      <c r="D123" s="14">
        <v>902.0</v>
      </c>
      <c r="E123" s="16"/>
      <c r="F123" s="14">
        <f t="shared" si="7"/>
        <v>902</v>
      </c>
      <c r="G123" s="19">
        <f t="shared" si="8"/>
        <v>26999</v>
      </c>
    </row>
    <row r="124">
      <c r="A124" s="12">
        <v>27.0</v>
      </c>
      <c r="B124" s="12" t="s">
        <v>200</v>
      </c>
      <c r="C124" s="13" t="s">
        <v>328</v>
      </c>
      <c r="D124" s="14">
        <v>818.0</v>
      </c>
      <c r="E124" s="16"/>
      <c r="F124" s="14">
        <f t="shared" si="7"/>
        <v>818</v>
      </c>
      <c r="G124" s="19">
        <f t="shared" si="8"/>
        <v>27817</v>
      </c>
    </row>
    <row r="125">
      <c r="A125" s="12">
        <v>28.0</v>
      </c>
      <c r="B125" s="12" t="s">
        <v>210</v>
      </c>
      <c r="C125" s="13" t="s">
        <v>330</v>
      </c>
      <c r="D125" s="14">
        <v>860.0</v>
      </c>
      <c r="E125" s="16"/>
      <c r="F125" s="14">
        <f t="shared" si="7"/>
        <v>860</v>
      </c>
      <c r="G125" s="19">
        <f t="shared" si="8"/>
        <v>28677</v>
      </c>
    </row>
    <row r="126">
      <c r="A126" s="12">
        <v>29.0</v>
      </c>
      <c r="B126" s="12" t="s">
        <v>210</v>
      </c>
      <c r="C126" s="13" t="s">
        <v>330</v>
      </c>
      <c r="D126" s="14">
        <v>902.0</v>
      </c>
      <c r="E126" s="16"/>
      <c r="F126" s="14">
        <f t="shared" si="7"/>
        <v>902</v>
      </c>
      <c r="G126" s="19">
        <f t="shared" si="8"/>
        <v>29579</v>
      </c>
    </row>
    <row r="127">
      <c r="A127" s="12">
        <v>30.0</v>
      </c>
      <c r="B127" s="12" t="s">
        <v>202</v>
      </c>
      <c r="C127" s="13" t="s">
        <v>329</v>
      </c>
      <c r="D127" s="14">
        <v>818.0</v>
      </c>
      <c r="E127" s="16"/>
      <c r="F127" s="14">
        <f t="shared" si="7"/>
        <v>818</v>
      </c>
      <c r="G127" s="19">
        <f t="shared" si="8"/>
        <v>30397</v>
      </c>
    </row>
    <row r="128">
      <c r="A128" s="12">
        <v>31.0</v>
      </c>
      <c r="B128" s="12" t="s">
        <v>202</v>
      </c>
      <c r="C128" s="13" t="s">
        <v>329</v>
      </c>
      <c r="D128" s="14">
        <v>860.0</v>
      </c>
      <c r="E128" s="16"/>
      <c r="F128" s="14">
        <f t="shared" si="7"/>
        <v>860</v>
      </c>
      <c r="G128" s="19">
        <f t="shared" si="8"/>
        <v>31257</v>
      </c>
    </row>
    <row r="129">
      <c r="A129" s="12">
        <v>32.0</v>
      </c>
      <c r="B129" s="12" t="s">
        <v>202</v>
      </c>
      <c r="C129" s="13" t="s">
        <v>329</v>
      </c>
      <c r="D129" s="14">
        <v>902.0</v>
      </c>
      <c r="E129" s="16"/>
      <c r="F129" s="14">
        <f t="shared" si="7"/>
        <v>902</v>
      </c>
      <c r="G129" s="19">
        <f t="shared" si="8"/>
        <v>32159</v>
      </c>
    </row>
    <row r="130">
      <c r="A130" s="12">
        <v>33.0</v>
      </c>
      <c r="B130" s="12" t="s">
        <v>212</v>
      </c>
      <c r="C130" s="13" t="s">
        <v>332</v>
      </c>
      <c r="D130" s="14">
        <v>1610.0</v>
      </c>
      <c r="E130" s="14">
        <v>1691.0</v>
      </c>
      <c r="F130" s="14">
        <f t="shared" si="7"/>
        <v>3301</v>
      </c>
      <c r="G130" s="19">
        <f t="shared" si="8"/>
        <v>35460</v>
      </c>
    </row>
    <row r="131">
      <c r="A131" s="12">
        <v>34.0</v>
      </c>
      <c r="B131" s="12" t="s">
        <v>343</v>
      </c>
      <c r="C131" s="23" t="s">
        <v>233</v>
      </c>
      <c r="D131" s="14">
        <v>4477.0</v>
      </c>
      <c r="E131" s="16"/>
      <c r="F131" s="14">
        <f t="shared" si="7"/>
        <v>4477</v>
      </c>
      <c r="G131" s="19">
        <f t="shared" si="8"/>
        <v>39937</v>
      </c>
    </row>
    <row r="132">
      <c r="A132" s="24"/>
      <c r="B132" s="24"/>
      <c r="C132" s="26"/>
      <c r="D132" s="27">
        <v>37.0</v>
      </c>
      <c r="E132" s="28"/>
      <c r="F132" s="27">
        <f>SUM(F98:F131)</f>
        <v>39937</v>
      </c>
      <c r="G132" s="29">
        <f>G131</f>
        <v>39937</v>
      </c>
    </row>
  </sheetData>
  <mergeCells count="4">
    <mergeCell ref="A1:G2"/>
    <mergeCell ref="A23:G24"/>
    <mergeCell ref="A56:G57"/>
    <mergeCell ref="A95:G96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0.86"/>
    <col customWidth="1" min="3" max="3" width="68.86"/>
    <col customWidth="1" min="4" max="5" width="7.14"/>
    <col customWidth="1" min="6" max="6" width="7.0"/>
    <col customWidth="1" min="7" max="7" width="8.57"/>
  </cols>
  <sheetData>
    <row r="1">
      <c r="A1" s="4" t="s">
        <v>193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12</v>
      </c>
      <c r="C4" s="13" t="s">
        <v>16</v>
      </c>
      <c r="D4" s="14">
        <v>262.0</v>
      </c>
      <c r="E4" s="16"/>
      <c r="F4" s="14">
        <f t="shared" ref="F4:F20" si="1">SUM(D4:E4)</f>
        <v>262</v>
      </c>
      <c r="G4" s="19">
        <f>F4</f>
        <v>262</v>
      </c>
    </row>
    <row r="5">
      <c r="A5" s="12">
        <v>2.0</v>
      </c>
      <c r="B5" s="12" t="s">
        <v>12</v>
      </c>
      <c r="C5" s="13" t="s">
        <v>16</v>
      </c>
      <c r="D5" s="14">
        <v>275.0</v>
      </c>
      <c r="E5" s="16"/>
      <c r="F5" s="14">
        <f t="shared" si="1"/>
        <v>275</v>
      </c>
      <c r="G5" s="19">
        <f t="shared" ref="G5:G20" si="2">G4+F5</f>
        <v>537</v>
      </c>
    </row>
    <row r="6">
      <c r="A6" s="12">
        <v>3.0</v>
      </c>
      <c r="B6" s="12" t="s">
        <v>12</v>
      </c>
      <c r="C6" s="13" t="s">
        <v>16</v>
      </c>
      <c r="D6" s="14">
        <v>290.0</v>
      </c>
      <c r="E6" s="16"/>
      <c r="F6" s="14">
        <f t="shared" si="1"/>
        <v>290</v>
      </c>
      <c r="G6" s="19">
        <f t="shared" si="2"/>
        <v>827</v>
      </c>
    </row>
    <row r="7">
      <c r="A7" s="12">
        <v>4.0</v>
      </c>
      <c r="B7" s="12" t="s">
        <v>12</v>
      </c>
      <c r="C7" s="13" t="s">
        <v>16</v>
      </c>
      <c r="D7" s="14">
        <v>303.0</v>
      </c>
      <c r="E7" s="16"/>
      <c r="F7" s="14">
        <f t="shared" si="1"/>
        <v>303</v>
      </c>
      <c r="G7" s="19">
        <f t="shared" si="2"/>
        <v>1130</v>
      </c>
    </row>
    <row r="8">
      <c r="A8" s="12">
        <v>5.0</v>
      </c>
      <c r="B8" s="12" t="s">
        <v>12</v>
      </c>
      <c r="C8" s="13" t="s">
        <v>16</v>
      </c>
      <c r="D8" s="14">
        <v>319.0</v>
      </c>
      <c r="E8" s="16"/>
      <c r="F8" s="14">
        <f t="shared" si="1"/>
        <v>319</v>
      </c>
      <c r="G8" s="19">
        <f t="shared" si="2"/>
        <v>1449</v>
      </c>
    </row>
    <row r="9">
      <c r="A9" s="12">
        <v>6.0</v>
      </c>
      <c r="B9" s="12" t="s">
        <v>12</v>
      </c>
      <c r="C9" s="13" t="s">
        <v>16</v>
      </c>
      <c r="D9" s="14">
        <v>335.0</v>
      </c>
      <c r="E9" s="16"/>
      <c r="F9" s="14">
        <f t="shared" si="1"/>
        <v>335</v>
      </c>
      <c r="G9" s="19">
        <f t="shared" si="2"/>
        <v>1784</v>
      </c>
    </row>
    <row r="10">
      <c r="A10" s="12">
        <v>7.0</v>
      </c>
      <c r="B10" s="12" t="s">
        <v>281</v>
      </c>
      <c r="C10" s="13" t="s">
        <v>293</v>
      </c>
      <c r="D10" s="14">
        <v>598.0</v>
      </c>
      <c r="E10" s="14">
        <v>628.0</v>
      </c>
      <c r="F10" s="14">
        <f t="shared" si="1"/>
        <v>1226</v>
      </c>
      <c r="G10" s="19">
        <f t="shared" si="2"/>
        <v>3010</v>
      </c>
    </row>
    <row r="11">
      <c r="A11" s="12">
        <v>8.0</v>
      </c>
      <c r="B11" s="12" t="s">
        <v>22</v>
      </c>
      <c r="C11" s="13" t="s">
        <v>27</v>
      </c>
      <c r="D11" s="14">
        <v>262.0</v>
      </c>
      <c r="E11" s="16"/>
      <c r="F11" s="14">
        <f t="shared" si="1"/>
        <v>262</v>
      </c>
      <c r="G11" s="19">
        <f t="shared" si="2"/>
        <v>3272</v>
      </c>
    </row>
    <row r="12">
      <c r="A12" s="12">
        <v>9.0</v>
      </c>
      <c r="B12" s="12" t="s">
        <v>22</v>
      </c>
      <c r="C12" s="13" t="s">
        <v>27</v>
      </c>
      <c r="D12" s="14">
        <v>275.0</v>
      </c>
      <c r="E12" s="16"/>
      <c r="F12" s="14">
        <f t="shared" si="1"/>
        <v>275</v>
      </c>
      <c r="G12" s="19">
        <f t="shared" si="2"/>
        <v>3547</v>
      </c>
    </row>
    <row r="13">
      <c r="A13" s="12">
        <v>10.0</v>
      </c>
      <c r="B13" s="12" t="s">
        <v>25</v>
      </c>
      <c r="C13" s="13" t="s">
        <v>32</v>
      </c>
      <c r="D13" s="14">
        <v>262.0</v>
      </c>
      <c r="E13" s="16"/>
      <c r="F13" s="14">
        <f t="shared" si="1"/>
        <v>262</v>
      </c>
      <c r="G13" s="19">
        <f t="shared" si="2"/>
        <v>3809</v>
      </c>
    </row>
    <row r="14">
      <c r="A14" s="12">
        <v>11.0</v>
      </c>
      <c r="B14" s="12" t="s">
        <v>25</v>
      </c>
      <c r="C14" s="13" t="s">
        <v>32</v>
      </c>
      <c r="D14" s="14">
        <v>275.0</v>
      </c>
      <c r="E14" s="16"/>
      <c r="F14" s="14">
        <f t="shared" si="1"/>
        <v>275</v>
      </c>
      <c r="G14" s="19">
        <f t="shared" si="2"/>
        <v>4084</v>
      </c>
    </row>
    <row r="15">
      <c r="A15" s="12">
        <v>12.0</v>
      </c>
      <c r="B15" s="12" t="s">
        <v>25</v>
      </c>
      <c r="C15" s="13" t="s">
        <v>32</v>
      </c>
      <c r="D15" s="14">
        <v>290.0</v>
      </c>
      <c r="E15" s="16"/>
      <c r="F15" s="14">
        <f t="shared" si="1"/>
        <v>290</v>
      </c>
      <c r="G15" s="19">
        <f t="shared" si="2"/>
        <v>4374</v>
      </c>
    </row>
    <row r="16">
      <c r="A16" s="12">
        <v>13.0</v>
      </c>
      <c r="B16" s="12" t="s">
        <v>25</v>
      </c>
      <c r="C16" s="13" t="s">
        <v>32</v>
      </c>
      <c r="D16" s="14">
        <v>303.0</v>
      </c>
      <c r="E16" s="16"/>
      <c r="F16" s="14">
        <f t="shared" si="1"/>
        <v>303</v>
      </c>
      <c r="G16" s="19">
        <f t="shared" si="2"/>
        <v>4677</v>
      </c>
    </row>
    <row r="17">
      <c r="A17" s="12">
        <v>14.0</v>
      </c>
      <c r="B17" s="12" t="s">
        <v>25</v>
      </c>
      <c r="C17" s="13" t="s">
        <v>32</v>
      </c>
      <c r="D17" s="14">
        <v>319.0</v>
      </c>
      <c r="E17" s="16"/>
      <c r="F17" s="14">
        <f t="shared" si="1"/>
        <v>319</v>
      </c>
      <c r="G17" s="19">
        <f t="shared" si="2"/>
        <v>4996</v>
      </c>
    </row>
    <row r="18">
      <c r="A18" s="12">
        <v>15.0</v>
      </c>
      <c r="B18" s="12" t="s">
        <v>25</v>
      </c>
      <c r="C18" s="13" t="s">
        <v>32</v>
      </c>
      <c r="D18" s="14">
        <v>335.0</v>
      </c>
      <c r="E18" s="16"/>
      <c r="F18" s="14">
        <f t="shared" si="1"/>
        <v>335</v>
      </c>
      <c r="G18" s="19">
        <f t="shared" si="2"/>
        <v>5331</v>
      </c>
    </row>
    <row r="19">
      <c r="A19" s="12">
        <v>16.0</v>
      </c>
      <c r="B19" s="12" t="s">
        <v>28</v>
      </c>
      <c r="C19" s="13" t="s">
        <v>34</v>
      </c>
      <c r="D19" s="14">
        <v>598.0</v>
      </c>
      <c r="E19" s="14">
        <v>628.0</v>
      </c>
      <c r="F19" s="14">
        <f t="shared" si="1"/>
        <v>1226</v>
      </c>
      <c r="G19" s="19">
        <f t="shared" si="2"/>
        <v>6557</v>
      </c>
    </row>
    <row r="20">
      <c r="A20" s="12">
        <v>17.0</v>
      </c>
      <c r="B20" s="12" t="s">
        <v>138</v>
      </c>
      <c r="C20" s="13" t="s">
        <v>156</v>
      </c>
      <c r="D20" s="14">
        <v>1661.0</v>
      </c>
      <c r="E20" s="16"/>
      <c r="F20" s="14">
        <f t="shared" si="1"/>
        <v>1661</v>
      </c>
      <c r="G20" s="19">
        <f t="shared" si="2"/>
        <v>8218</v>
      </c>
    </row>
    <row r="21">
      <c r="A21" s="24"/>
      <c r="B21" s="24"/>
      <c r="C21" s="26"/>
      <c r="D21" s="27">
        <v>19.0</v>
      </c>
      <c r="E21" s="28"/>
      <c r="F21" s="27">
        <f>SUM(F4:F20)</f>
        <v>8218</v>
      </c>
      <c r="G21" s="29">
        <f>G20</f>
        <v>8218</v>
      </c>
    </row>
    <row r="22">
      <c r="C22" s="30"/>
      <c r="G22" s="30"/>
    </row>
    <row r="23">
      <c r="A23" s="4" t="s">
        <v>397</v>
      </c>
      <c r="B23" s="5"/>
      <c r="C23" s="5"/>
      <c r="D23" s="5"/>
      <c r="E23" s="5"/>
      <c r="F23" s="5"/>
      <c r="G23" s="6"/>
    </row>
    <row r="24">
      <c r="A24" s="7"/>
      <c r="B24" s="8"/>
      <c r="C24" s="8"/>
      <c r="D24" s="8"/>
      <c r="E24" s="8"/>
      <c r="F24" s="8"/>
      <c r="G24" s="9"/>
    </row>
    <row r="25">
      <c r="A25" s="10"/>
      <c r="B25" s="10" t="s">
        <v>6</v>
      </c>
      <c r="C25" s="11" t="s">
        <v>7</v>
      </c>
      <c r="D25" s="10" t="s">
        <v>8</v>
      </c>
      <c r="E25" s="10" t="s">
        <v>9</v>
      </c>
      <c r="F25" s="10" t="s">
        <v>10</v>
      </c>
      <c r="G25" s="11" t="s">
        <v>11</v>
      </c>
    </row>
    <row r="26">
      <c r="A26" s="12">
        <v>1.0</v>
      </c>
      <c r="B26" s="12" t="s">
        <v>93</v>
      </c>
      <c r="C26" s="13" t="s">
        <v>136</v>
      </c>
      <c r="D26" s="14">
        <v>332.0</v>
      </c>
      <c r="E26" s="16"/>
      <c r="F26" s="14">
        <f t="shared" ref="F26:F53" si="3">SUM(D26:E26)</f>
        <v>332</v>
      </c>
      <c r="G26" s="19">
        <f>F26</f>
        <v>332</v>
      </c>
    </row>
    <row r="27">
      <c r="A27" s="12">
        <v>2.0</v>
      </c>
      <c r="B27" s="12" t="s">
        <v>151</v>
      </c>
      <c r="C27" s="13" t="s">
        <v>164</v>
      </c>
      <c r="D27" s="14">
        <v>350.0</v>
      </c>
      <c r="E27" s="16"/>
      <c r="F27" s="14">
        <f t="shared" si="3"/>
        <v>350</v>
      </c>
      <c r="G27" s="19">
        <f t="shared" ref="G27:G53" si="4">G26+F27</f>
        <v>682</v>
      </c>
    </row>
    <row r="28">
      <c r="A28" s="12">
        <v>3.0</v>
      </c>
      <c r="B28" s="12" t="s">
        <v>151</v>
      </c>
      <c r="C28" s="13" t="s">
        <v>164</v>
      </c>
      <c r="D28" s="14">
        <v>366.0</v>
      </c>
      <c r="E28" s="16"/>
      <c r="F28" s="14">
        <f t="shared" si="3"/>
        <v>366</v>
      </c>
      <c r="G28" s="19">
        <f t="shared" si="4"/>
        <v>1048</v>
      </c>
    </row>
    <row r="29">
      <c r="A29" s="12">
        <v>4.0</v>
      </c>
      <c r="B29" s="12" t="s">
        <v>148</v>
      </c>
      <c r="C29" s="13" t="s">
        <v>162</v>
      </c>
      <c r="D29" s="14">
        <v>385.0</v>
      </c>
      <c r="E29" s="16"/>
      <c r="F29" s="14">
        <f t="shared" si="3"/>
        <v>385</v>
      </c>
      <c r="G29" s="19">
        <f t="shared" si="4"/>
        <v>1433</v>
      </c>
    </row>
    <row r="30">
      <c r="A30" s="12">
        <v>5.0</v>
      </c>
      <c r="B30" s="12" t="s">
        <v>157</v>
      </c>
      <c r="C30" s="13" t="s">
        <v>179</v>
      </c>
      <c r="D30" s="14">
        <v>350.0</v>
      </c>
      <c r="E30" s="16"/>
      <c r="F30" s="14">
        <f t="shared" si="3"/>
        <v>350</v>
      </c>
      <c r="G30" s="19">
        <f t="shared" si="4"/>
        <v>1783</v>
      </c>
    </row>
    <row r="31">
      <c r="A31" s="12">
        <v>6.0</v>
      </c>
      <c r="B31" s="12" t="s">
        <v>93</v>
      </c>
      <c r="C31" s="13" t="s">
        <v>136</v>
      </c>
      <c r="D31" s="14">
        <v>366.0</v>
      </c>
      <c r="E31" s="16"/>
      <c r="F31" s="14">
        <f t="shared" si="3"/>
        <v>366</v>
      </c>
      <c r="G31" s="19">
        <f t="shared" si="4"/>
        <v>2149</v>
      </c>
    </row>
    <row r="32">
      <c r="A32" s="12">
        <v>7.0</v>
      </c>
      <c r="B32" s="12" t="s">
        <v>148</v>
      </c>
      <c r="C32" s="13" t="s">
        <v>162</v>
      </c>
      <c r="D32" s="14">
        <v>385.0</v>
      </c>
      <c r="E32" s="16"/>
      <c r="F32" s="14">
        <f t="shared" si="3"/>
        <v>385</v>
      </c>
      <c r="G32" s="19">
        <f t="shared" si="4"/>
        <v>2534</v>
      </c>
    </row>
    <row r="33">
      <c r="A33" s="12">
        <v>8.0</v>
      </c>
      <c r="B33" s="12" t="s">
        <v>99</v>
      </c>
      <c r="C33" s="13" t="s">
        <v>137</v>
      </c>
      <c r="D33" s="14">
        <v>404.0</v>
      </c>
      <c r="E33" s="16"/>
      <c r="F33" s="14">
        <f t="shared" si="3"/>
        <v>404</v>
      </c>
      <c r="G33" s="19">
        <f t="shared" si="4"/>
        <v>2938</v>
      </c>
    </row>
    <row r="34">
      <c r="A34" s="12">
        <v>9.0</v>
      </c>
      <c r="B34" s="12" t="s">
        <v>153</v>
      </c>
      <c r="C34" s="13" t="s">
        <v>414</v>
      </c>
      <c r="D34" s="14">
        <v>722.0</v>
      </c>
      <c r="E34" s="14">
        <v>758.0</v>
      </c>
      <c r="F34" s="14">
        <f t="shared" si="3"/>
        <v>1480</v>
      </c>
      <c r="G34" s="19">
        <f t="shared" si="4"/>
        <v>4418</v>
      </c>
    </row>
    <row r="35">
      <c r="A35" s="12">
        <v>10.0</v>
      </c>
      <c r="B35" s="12" t="s">
        <v>151</v>
      </c>
      <c r="C35" s="13" t="s">
        <v>164</v>
      </c>
      <c r="D35" s="14">
        <v>332.0</v>
      </c>
      <c r="E35" s="16"/>
      <c r="F35" s="14">
        <f t="shared" si="3"/>
        <v>332</v>
      </c>
      <c r="G35" s="19">
        <f t="shared" si="4"/>
        <v>4750</v>
      </c>
    </row>
    <row r="36">
      <c r="A36" s="12">
        <v>11.0</v>
      </c>
      <c r="B36" s="12" t="s">
        <v>151</v>
      </c>
      <c r="C36" s="13" t="s">
        <v>164</v>
      </c>
      <c r="D36" s="14">
        <v>350.0</v>
      </c>
      <c r="E36" s="16"/>
      <c r="F36" s="14">
        <f t="shared" si="3"/>
        <v>350</v>
      </c>
      <c r="G36" s="19">
        <f t="shared" si="4"/>
        <v>5100</v>
      </c>
    </row>
    <row r="37">
      <c r="A37" s="12">
        <v>12.0</v>
      </c>
      <c r="B37" s="12" t="s">
        <v>148</v>
      </c>
      <c r="C37" s="13" t="s">
        <v>162</v>
      </c>
      <c r="D37" s="14">
        <v>366.0</v>
      </c>
      <c r="E37" s="16"/>
      <c r="F37" s="14">
        <f t="shared" si="3"/>
        <v>366</v>
      </c>
      <c r="G37" s="19">
        <f t="shared" si="4"/>
        <v>5466</v>
      </c>
    </row>
    <row r="38">
      <c r="A38" s="12">
        <v>13.0</v>
      </c>
      <c r="B38" s="12" t="s">
        <v>151</v>
      </c>
      <c r="C38" s="13" t="s">
        <v>164</v>
      </c>
      <c r="D38" s="14">
        <v>385.0</v>
      </c>
      <c r="E38" s="16"/>
      <c r="F38" s="14">
        <f t="shared" si="3"/>
        <v>385</v>
      </c>
      <c r="G38" s="19">
        <f t="shared" si="4"/>
        <v>5851</v>
      </c>
    </row>
    <row r="39">
      <c r="A39" s="12">
        <v>14.0</v>
      </c>
      <c r="B39" s="12" t="s">
        <v>151</v>
      </c>
      <c r="C39" s="13" t="s">
        <v>164</v>
      </c>
      <c r="D39" s="14">
        <v>350.0</v>
      </c>
      <c r="E39" s="16"/>
      <c r="F39" s="14">
        <f t="shared" si="3"/>
        <v>350</v>
      </c>
      <c r="G39" s="19">
        <f t="shared" si="4"/>
        <v>6201</v>
      </c>
    </row>
    <row r="40">
      <c r="A40" s="12">
        <v>15.0</v>
      </c>
      <c r="B40" s="12" t="s">
        <v>99</v>
      </c>
      <c r="C40" s="13" t="s">
        <v>137</v>
      </c>
      <c r="D40" s="14">
        <v>366.0</v>
      </c>
      <c r="E40" s="16"/>
      <c r="F40" s="14">
        <f t="shared" si="3"/>
        <v>366</v>
      </c>
      <c r="G40" s="19">
        <f t="shared" si="4"/>
        <v>6567</v>
      </c>
    </row>
    <row r="41">
      <c r="A41" s="12">
        <v>16.0</v>
      </c>
      <c r="B41" s="12" t="s">
        <v>151</v>
      </c>
      <c r="C41" s="13" t="s">
        <v>164</v>
      </c>
      <c r="D41" s="14">
        <v>385.0</v>
      </c>
      <c r="E41" s="16"/>
      <c r="F41" s="14">
        <f t="shared" si="3"/>
        <v>385</v>
      </c>
      <c r="G41" s="19">
        <f t="shared" si="4"/>
        <v>6952</v>
      </c>
    </row>
    <row r="42">
      <c r="A42" s="12">
        <v>17.0</v>
      </c>
      <c r="B42" s="12" t="s">
        <v>93</v>
      </c>
      <c r="C42" s="13" t="s">
        <v>136</v>
      </c>
      <c r="D42" s="14">
        <v>404.0</v>
      </c>
      <c r="E42" s="16"/>
      <c r="F42" s="14">
        <f t="shared" si="3"/>
        <v>404</v>
      </c>
      <c r="G42" s="19">
        <f t="shared" si="4"/>
        <v>7356</v>
      </c>
    </row>
    <row r="43">
      <c r="A43" s="12">
        <v>18.0</v>
      </c>
      <c r="B43" s="12" t="s">
        <v>153</v>
      </c>
      <c r="C43" s="13" t="s">
        <v>414</v>
      </c>
      <c r="D43" s="14">
        <v>722.0</v>
      </c>
      <c r="E43" s="14">
        <v>758.0</v>
      </c>
      <c r="F43" s="14">
        <f t="shared" si="3"/>
        <v>1480</v>
      </c>
      <c r="G43" s="19">
        <f t="shared" si="4"/>
        <v>8836</v>
      </c>
    </row>
    <row r="44">
      <c r="A44" s="12">
        <v>19.0</v>
      </c>
      <c r="B44" s="12" t="s">
        <v>165</v>
      </c>
      <c r="C44" s="13" t="s">
        <v>183</v>
      </c>
      <c r="D44" s="14">
        <v>2006.0</v>
      </c>
      <c r="E44" s="16"/>
      <c r="F44" s="14">
        <f t="shared" si="3"/>
        <v>2006</v>
      </c>
      <c r="G44" s="19">
        <f t="shared" si="4"/>
        <v>10842</v>
      </c>
    </row>
    <row r="45">
      <c r="A45" s="12">
        <v>20.0</v>
      </c>
      <c r="B45" s="12" t="s">
        <v>151</v>
      </c>
      <c r="C45" s="13" t="s">
        <v>164</v>
      </c>
      <c r="D45" s="14">
        <v>332.0</v>
      </c>
      <c r="E45" s="16"/>
      <c r="F45" s="14">
        <f t="shared" si="3"/>
        <v>332</v>
      </c>
      <c r="G45" s="19">
        <f t="shared" si="4"/>
        <v>11174</v>
      </c>
    </row>
    <row r="46">
      <c r="A46" s="12">
        <v>21.0</v>
      </c>
      <c r="B46" s="12" t="s">
        <v>157</v>
      </c>
      <c r="C46" s="13" t="s">
        <v>179</v>
      </c>
      <c r="D46" s="14">
        <v>350.0</v>
      </c>
      <c r="E46" s="16"/>
      <c r="F46" s="14">
        <f t="shared" si="3"/>
        <v>350</v>
      </c>
      <c r="G46" s="19">
        <f t="shared" si="4"/>
        <v>11524</v>
      </c>
    </row>
    <row r="47">
      <c r="A47" s="12">
        <v>22.0</v>
      </c>
      <c r="B47" s="12" t="s">
        <v>148</v>
      </c>
      <c r="C47" s="13" t="s">
        <v>162</v>
      </c>
      <c r="D47" s="14">
        <v>366.0</v>
      </c>
      <c r="E47" s="16"/>
      <c r="F47" s="14">
        <f t="shared" si="3"/>
        <v>366</v>
      </c>
      <c r="G47" s="19">
        <f t="shared" si="4"/>
        <v>11890</v>
      </c>
    </row>
    <row r="48">
      <c r="A48" s="12">
        <v>23.0</v>
      </c>
      <c r="B48" s="12" t="s">
        <v>99</v>
      </c>
      <c r="C48" s="13" t="s">
        <v>137</v>
      </c>
      <c r="D48" s="14">
        <v>385.0</v>
      </c>
      <c r="E48" s="16"/>
      <c r="F48" s="14">
        <f t="shared" si="3"/>
        <v>385</v>
      </c>
      <c r="G48" s="19">
        <f t="shared" si="4"/>
        <v>12275</v>
      </c>
    </row>
    <row r="49">
      <c r="A49" s="12">
        <v>24.0</v>
      </c>
      <c r="B49" s="12" t="s">
        <v>148</v>
      </c>
      <c r="C49" s="13" t="s">
        <v>162</v>
      </c>
      <c r="D49" s="14">
        <v>350.0</v>
      </c>
      <c r="E49" s="16"/>
      <c r="F49" s="14">
        <f t="shared" si="3"/>
        <v>350</v>
      </c>
      <c r="G49" s="19">
        <f t="shared" si="4"/>
        <v>12625</v>
      </c>
    </row>
    <row r="50">
      <c r="A50" s="12">
        <v>25.0</v>
      </c>
      <c r="B50" s="12" t="s">
        <v>148</v>
      </c>
      <c r="C50" s="13" t="s">
        <v>162</v>
      </c>
      <c r="D50" s="14">
        <v>366.0</v>
      </c>
      <c r="E50" s="16"/>
      <c r="F50" s="14">
        <f t="shared" si="3"/>
        <v>366</v>
      </c>
      <c r="G50" s="19">
        <f t="shared" si="4"/>
        <v>12991</v>
      </c>
    </row>
    <row r="51">
      <c r="A51" s="12">
        <v>26.0</v>
      </c>
      <c r="B51" s="12" t="s">
        <v>148</v>
      </c>
      <c r="C51" s="13" t="s">
        <v>162</v>
      </c>
      <c r="D51" s="14">
        <v>385.0</v>
      </c>
      <c r="E51" s="16"/>
      <c r="F51" s="14">
        <f t="shared" si="3"/>
        <v>385</v>
      </c>
      <c r="G51" s="19">
        <f t="shared" si="4"/>
        <v>13376</v>
      </c>
    </row>
    <row r="52">
      <c r="A52" s="12">
        <v>27.0</v>
      </c>
      <c r="B52" s="12" t="s">
        <v>148</v>
      </c>
      <c r="C52" s="13" t="s">
        <v>162</v>
      </c>
      <c r="D52" s="14">
        <v>404.0</v>
      </c>
      <c r="E52" s="16"/>
      <c r="F52" s="14">
        <f t="shared" si="3"/>
        <v>404</v>
      </c>
      <c r="G52" s="19">
        <f t="shared" si="4"/>
        <v>13780</v>
      </c>
    </row>
    <row r="53">
      <c r="A53" s="12">
        <v>28.0</v>
      </c>
      <c r="B53" s="12" t="s">
        <v>153</v>
      </c>
      <c r="C53" s="13" t="s">
        <v>414</v>
      </c>
      <c r="D53" s="14">
        <v>722.0</v>
      </c>
      <c r="E53" s="14">
        <v>758.0</v>
      </c>
      <c r="F53" s="14">
        <f t="shared" si="3"/>
        <v>1480</v>
      </c>
      <c r="G53" s="19">
        <f t="shared" si="4"/>
        <v>15260</v>
      </c>
    </row>
    <row r="54">
      <c r="A54" s="24"/>
      <c r="B54" s="24"/>
      <c r="C54" s="26"/>
      <c r="D54" s="27">
        <v>31.0</v>
      </c>
      <c r="E54" s="28"/>
      <c r="F54" s="27">
        <f>SUM(F26:F53)</f>
        <v>15260</v>
      </c>
      <c r="G54" s="29">
        <f>G53</f>
        <v>15260</v>
      </c>
    </row>
    <row r="55">
      <c r="C55" s="30"/>
      <c r="G55" s="30"/>
    </row>
    <row r="56">
      <c r="A56" s="4" t="s">
        <v>408</v>
      </c>
      <c r="B56" s="5"/>
      <c r="C56" s="5"/>
      <c r="D56" s="5"/>
      <c r="E56" s="5"/>
      <c r="F56" s="5"/>
      <c r="G56" s="6"/>
    </row>
    <row r="57">
      <c r="A57" s="7"/>
      <c r="B57" s="8"/>
      <c r="C57" s="8"/>
      <c r="D57" s="8"/>
      <c r="E57" s="8"/>
      <c r="F57" s="8"/>
      <c r="G57" s="9"/>
    </row>
    <row r="58">
      <c r="A58" s="10"/>
      <c r="B58" s="10" t="s">
        <v>6</v>
      </c>
      <c r="C58" s="11" t="s">
        <v>7</v>
      </c>
      <c r="D58" s="10" t="s">
        <v>8</v>
      </c>
      <c r="E58" s="10" t="s">
        <v>9</v>
      </c>
      <c r="F58" s="10" t="s">
        <v>10</v>
      </c>
      <c r="G58" s="11" t="s">
        <v>11</v>
      </c>
    </row>
    <row r="59">
      <c r="A59" s="12">
        <v>1.0</v>
      </c>
      <c r="B59" s="12" t="s">
        <v>106</v>
      </c>
      <c r="C59" s="13" t="s">
        <v>133</v>
      </c>
      <c r="D59" s="14">
        <v>633.0</v>
      </c>
      <c r="E59" s="16"/>
      <c r="F59" s="14">
        <f t="shared" ref="F59:F92" si="5">SUM(D59:E59)</f>
        <v>633</v>
      </c>
      <c r="G59" s="19">
        <f>F59</f>
        <v>633</v>
      </c>
    </row>
    <row r="60">
      <c r="A60" s="12">
        <v>2.0</v>
      </c>
      <c r="B60" s="12" t="s">
        <v>67</v>
      </c>
      <c r="C60" s="13" t="s">
        <v>186</v>
      </c>
      <c r="D60" s="14">
        <v>666.0</v>
      </c>
      <c r="E60" s="16"/>
      <c r="F60" s="14">
        <f t="shared" si="5"/>
        <v>666</v>
      </c>
      <c r="G60" s="19">
        <f t="shared" ref="G60:G92" si="6">G59+F60</f>
        <v>1299</v>
      </c>
    </row>
    <row r="61">
      <c r="A61" s="12">
        <v>3.0</v>
      </c>
      <c r="B61" s="12" t="s">
        <v>67</v>
      </c>
      <c r="C61" s="13" t="s">
        <v>186</v>
      </c>
      <c r="D61" s="14">
        <v>700.0</v>
      </c>
      <c r="E61" s="16"/>
      <c r="F61" s="14">
        <f t="shared" si="5"/>
        <v>700</v>
      </c>
      <c r="G61" s="19">
        <f t="shared" si="6"/>
        <v>1999</v>
      </c>
    </row>
    <row r="62">
      <c r="A62" s="12">
        <v>4.0</v>
      </c>
      <c r="B62" s="12" t="s">
        <v>173</v>
      </c>
      <c r="C62" s="13" t="s">
        <v>195</v>
      </c>
      <c r="D62" s="14">
        <v>735.0</v>
      </c>
      <c r="E62" s="16"/>
      <c r="F62" s="14">
        <f t="shared" si="5"/>
        <v>735</v>
      </c>
      <c r="G62" s="19">
        <f t="shared" si="6"/>
        <v>2734</v>
      </c>
    </row>
    <row r="63">
      <c r="A63" s="12">
        <v>5.0</v>
      </c>
      <c r="B63" s="12" t="s">
        <v>67</v>
      </c>
      <c r="C63" s="13" t="s">
        <v>186</v>
      </c>
      <c r="D63" s="14">
        <v>771.0</v>
      </c>
      <c r="E63" s="16"/>
      <c r="F63" s="14">
        <f t="shared" si="5"/>
        <v>771</v>
      </c>
      <c r="G63" s="19">
        <f t="shared" si="6"/>
        <v>3505</v>
      </c>
    </row>
    <row r="64">
      <c r="A64" s="12">
        <v>6.0</v>
      </c>
      <c r="B64" s="12" t="s">
        <v>173</v>
      </c>
      <c r="C64" s="13" t="s">
        <v>195</v>
      </c>
      <c r="D64" s="14">
        <v>810.0</v>
      </c>
      <c r="E64" s="16"/>
      <c r="F64" s="14">
        <f t="shared" si="5"/>
        <v>810</v>
      </c>
      <c r="G64" s="19">
        <f t="shared" si="6"/>
        <v>4315</v>
      </c>
    </row>
    <row r="65">
      <c r="A65" s="12">
        <v>7.0</v>
      </c>
      <c r="B65" s="12" t="s">
        <v>104</v>
      </c>
      <c r="C65" s="13" t="s">
        <v>132</v>
      </c>
      <c r="D65" s="14">
        <v>849.0</v>
      </c>
      <c r="E65" s="16"/>
      <c r="F65" s="14">
        <f t="shared" si="5"/>
        <v>849</v>
      </c>
      <c r="G65" s="19">
        <f t="shared" si="6"/>
        <v>5164</v>
      </c>
    </row>
    <row r="66">
      <c r="A66" s="12">
        <v>8.0</v>
      </c>
      <c r="B66" s="12" t="s">
        <v>173</v>
      </c>
      <c r="C66" s="13" t="s">
        <v>195</v>
      </c>
      <c r="D66" s="14">
        <v>892.0</v>
      </c>
      <c r="E66" s="16"/>
      <c r="F66" s="14">
        <f t="shared" si="5"/>
        <v>892</v>
      </c>
      <c r="G66" s="19">
        <f t="shared" si="6"/>
        <v>6056</v>
      </c>
    </row>
    <row r="67">
      <c r="A67" s="12">
        <v>9.0</v>
      </c>
      <c r="B67" s="12" t="s">
        <v>67</v>
      </c>
      <c r="C67" s="13" t="s">
        <v>186</v>
      </c>
      <c r="D67" s="14">
        <v>633.0</v>
      </c>
      <c r="E67" s="16"/>
      <c r="F67" s="14">
        <f t="shared" si="5"/>
        <v>633</v>
      </c>
      <c r="G67" s="19">
        <f t="shared" si="6"/>
        <v>6689</v>
      </c>
    </row>
    <row r="68">
      <c r="A68" s="12">
        <v>10.0</v>
      </c>
      <c r="B68" s="12" t="s">
        <v>67</v>
      </c>
      <c r="C68" s="13" t="s">
        <v>186</v>
      </c>
      <c r="D68" s="14">
        <v>666.0</v>
      </c>
      <c r="E68" s="16"/>
      <c r="F68" s="14">
        <f t="shared" si="5"/>
        <v>666</v>
      </c>
      <c r="G68" s="19">
        <f t="shared" si="6"/>
        <v>7355</v>
      </c>
    </row>
    <row r="69">
      <c r="A69" s="12">
        <v>11.0</v>
      </c>
      <c r="B69" s="12" t="s">
        <v>173</v>
      </c>
      <c r="C69" s="13" t="s">
        <v>195</v>
      </c>
      <c r="D69" s="14">
        <v>700.0</v>
      </c>
      <c r="E69" s="16"/>
      <c r="F69" s="14">
        <f t="shared" si="5"/>
        <v>700</v>
      </c>
      <c r="G69" s="19">
        <f t="shared" si="6"/>
        <v>8055</v>
      </c>
    </row>
    <row r="70">
      <c r="A70" s="12">
        <v>12.0</v>
      </c>
      <c r="B70" s="12" t="s">
        <v>170</v>
      </c>
      <c r="C70" s="13" t="s">
        <v>192</v>
      </c>
      <c r="D70" s="14">
        <v>633.0</v>
      </c>
      <c r="E70" s="16"/>
      <c r="F70" s="14">
        <f t="shared" si="5"/>
        <v>633</v>
      </c>
      <c r="G70" s="19">
        <f t="shared" si="6"/>
        <v>8688</v>
      </c>
    </row>
    <row r="71">
      <c r="A71" s="12">
        <v>13.0</v>
      </c>
      <c r="B71" s="12" t="s">
        <v>170</v>
      </c>
      <c r="C71" s="13" t="s">
        <v>192</v>
      </c>
      <c r="D71" s="14">
        <v>666.0</v>
      </c>
      <c r="E71" s="16"/>
      <c r="F71" s="14">
        <f t="shared" si="5"/>
        <v>666</v>
      </c>
      <c r="G71" s="19">
        <f t="shared" si="6"/>
        <v>9354</v>
      </c>
    </row>
    <row r="72">
      <c r="A72" s="12">
        <v>14.0</v>
      </c>
      <c r="B72" s="12" t="s">
        <v>170</v>
      </c>
      <c r="C72" s="13" t="s">
        <v>192</v>
      </c>
      <c r="D72" s="14">
        <v>700.0</v>
      </c>
      <c r="E72" s="16"/>
      <c r="F72" s="14">
        <f t="shared" si="5"/>
        <v>700</v>
      </c>
      <c r="G72" s="19">
        <f t="shared" si="6"/>
        <v>10054</v>
      </c>
    </row>
    <row r="73">
      <c r="A73" s="12">
        <v>15.0</v>
      </c>
      <c r="B73" s="12" t="s">
        <v>177</v>
      </c>
      <c r="C73" s="13" t="s">
        <v>190</v>
      </c>
      <c r="D73" s="14">
        <v>735.0</v>
      </c>
      <c r="E73" s="16"/>
      <c r="F73" s="14">
        <f t="shared" si="5"/>
        <v>735</v>
      </c>
      <c r="G73" s="19">
        <f t="shared" si="6"/>
        <v>10789</v>
      </c>
    </row>
    <row r="74">
      <c r="A74" s="12">
        <v>16.0</v>
      </c>
      <c r="B74" s="12" t="s">
        <v>170</v>
      </c>
      <c r="C74" s="13" t="s">
        <v>192</v>
      </c>
      <c r="D74" s="14">
        <v>771.0</v>
      </c>
      <c r="E74" s="16"/>
      <c r="F74" s="14">
        <f t="shared" si="5"/>
        <v>771</v>
      </c>
      <c r="G74" s="19">
        <f t="shared" si="6"/>
        <v>11560</v>
      </c>
    </row>
    <row r="75">
      <c r="A75" s="12">
        <v>17.0</v>
      </c>
      <c r="B75" s="12" t="s">
        <v>177</v>
      </c>
      <c r="C75" s="13" t="s">
        <v>190</v>
      </c>
      <c r="D75" s="14">
        <v>633.0</v>
      </c>
      <c r="E75" s="16"/>
      <c r="F75" s="14">
        <f t="shared" si="5"/>
        <v>633</v>
      </c>
      <c r="G75" s="19">
        <f t="shared" si="6"/>
        <v>12193</v>
      </c>
    </row>
    <row r="76">
      <c r="A76" s="12">
        <v>18.0</v>
      </c>
      <c r="B76" s="12" t="s">
        <v>170</v>
      </c>
      <c r="C76" s="13" t="s">
        <v>192</v>
      </c>
      <c r="D76" s="14">
        <v>666.0</v>
      </c>
      <c r="E76" s="16"/>
      <c r="F76" s="14">
        <f t="shared" si="5"/>
        <v>666</v>
      </c>
      <c r="G76" s="19">
        <f t="shared" si="6"/>
        <v>12859</v>
      </c>
    </row>
    <row r="77">
      <c r="A77" s="12">
        <v>19.0</v>
      </c>
      <c r="B77" s="12" t="s">
        <v>67</v>
      </c>
      <c r="C77" s="13" t="s">
        <v>186</v>
      </c>
      <c r="D77" s="14">
        <v>700.0</v>
      </c>
      <c r="E77" s="16"/>
      <c r="F77" s="14">
        <f t="shared" si="5"/>
        <v>700</v>
      </c>
      <c r="G77" s="19">
        <f t="shared" si="6"/>
        <v>13559</v>
      </c>
    </row>
    <row r="78">
      <c r="A78" s="12">
        <v>20.0</v>
      </c>
      <c r="B78" s="12" t="s">
        <v>67</v>
      </c>
      <c r="C78" s="13" t="s">
        <v>186</v>
      </c>
      <c r="D78" s="14">
        <v>735.0</v>
      </c>
      <c r="E78" s="16"/>
      <c r="F78" s="14">
        <f t="shared" si="5"/>
        <v>735</v>
      </c>
      <c r="G78" s="19">
        <f t="shared" si="6"/>
        <v>14294</v>
      </c>
    </row>
    <row r="79">
      <c r="A79" s="12">
        <v>21.0</v>
      </c>
      <c r="B79" s="12" t="s">
        <v>67</v>
      </c>
      <c r="C79" s="13" t="s">
        <v>186</v>
      </c>
      <c r="D79" s="14">
        <v>771.0</v>
      </c>
      <c r="E79" s="16"/>
      <c r="F79" s="14">
        <f t="shared" si="5"/>
        <v>771</v>
      </c>
      <c r="G79" s="19">
        <f t="shared" si="6"/>
        <v>15065</v>
      </c>
    </row>
    <row r="80">
      <c r="A80" s="12">
        <v>22.0</v>
      </c>
      <c r="B80" s="12" t="s">
        <v>180</v>
      </c>
      <c r="C80" s="13" t="s">
        <v>424</v>
      </c>
      <c r="D80" s="14">
        <v>1376.0</v>
      </c>
      <c r="E80" s="14">
        <v>1446.0</v>
      </c>
      <c r="F80" s="14">
        <f t="shared" si="5"/>
        <v>2822</v>
      </c>
      <c r="G80" s="19">
        <f t="shared" si="6"/>
        <v>17887</v>
      </c>
    </row>
    <row r="81">
      <c r="A81" s="12">
        <v>23.0</v>
      </c>
      <c r="B81" s="12" t="s">
        <v>106</v>
      </c>
      <c r="C81" s="13" t="s">
        <v>133</v>
      </c>
      <c r="D81" s="14">
        <v>633.0</v>
      </c>
      <c r="E81" s="16"/>
      <c r="F81" s="14">
        <f t="shared" si="5"/>
        <v>633</v>
      </c>
      <c r="G81" s="19">
        <f t="shared" si="6"/>
        <v>18520</v>
      </c>
    </row>
    <row r="82">
      <c r="A82" s="12">
        <v>24.0</v>
      </c>
      <c r="B82" s="12" t="s">
        <v>170</v>
      </c>
      <c r="C82" s="13" t="s">
        <v>192</v>
      </c>
      <c r="D82" s="14">
        <v>666.0</v>
      </c>
      <c r="E82" s="16"/>
      <c r="F82" s="14">
        <f t="shared" si="5"/>
        <v>666</v>
      </c>
      <c r="G82" s="19">
        <f t="shared" si="6"/>
        <v>19186</v>
      </c>
    </row>
    <row r="83">
      <c r="A83" s="12">
        <v>25.0</v>
      </c>
      <c r="B83" s="12" t="s">
        <v>67</v>
      </c>
      <c r="C83" s="13" t="s">
        <v>186</v>
      </c>
      <c r="D83" s="14">
        <v>633.0</v>
      </c>
      <c r="E83" s="16"/>
      <c r="F83" s="14">
        <f t="shared" si="5"/>
        <v>633</v>
      </c>
      <c r="G83" s="19">
        <f t="shared" si="6"/>
        <v>19819</v>
      </c>
    </row>
    <row r="84">
      <c r="A84" s="12">
        <v>26.0</v>
      </c>
      <c r="B84" s="12" t="s">
        <v>104</v>
      </c>
      <c r="C84" s="13" t="s">
        <v>132</v>
      </c>
      <c r="D84" s="14">
        <v>666.0</v>
      </c>
      <c r="E84" s="16"/>
      <c r="F84" s="14">
        <f t="shared" si="5"/>
        <v>666</v>
      </c>
      <c r="G84" s="19">
        <f t="shared" si="6"/>
        <v>20485</v>
      </c>
    </row>
    <row r="85">
      <c r="A85" s="12">
        <v>27.0</v>
      </c>
      <c r="B85" s="12" t="s">
        <v>170</v>
      </c>
      <c r="C85" s="13" t="s">
        <v>192</v>
      </c>
      <c r="D85" s="14">
        <v>700.0</v>
      </c>
      <c r="E85" s="16"/>
      <c r="F85" s="14">
        <f t="shared" si="5"/>
        <v>700</v>
      </c>
      <c r="G85" s="19">
        <f t="shared" si="6"/>
        <v>21185</v>
      </c>
    </row>
    <row r="86">
      <c r="A86" s="12">
        <v>28.0</v>
      </c>
      <c r="B86" s="12" t="s">
        <v>170</v>
      </c>
      <c r="C86" s="13" t="s">
        <v>192</v>
      </c>
      <c r="D86" s="14">
        <v>735.0</v>
      </c>
      <c r="E86" s="16"/>
      <c r="F86" s="14">
        <f t="shared" si="5"/>
        <v>735</v>
      </c>
      <c r="G86" s="19">
        <f t="shared" si="6"/>
        <v>21920</v>
      </c>
    </row>
    <row r="87">
      <c r="A87" s="12">
        <v>29.0</v>
      </c>
      <c r="B87" s="12" t="s">
        <v>177</v>
      </c>
      <c r="C87" s="13" t="s">
        <v>190</v>
      </c>
      <c r="D87" s="14">
        <v>771.0</v>
      </c>
      <c r="E87" s="16"/>
      <c r="F87" s="14">
        <f t="shared" si="5"/>
        <v>771</v>
      </c>
      <c r="G87" s="19">
        <f t="shared" si="6"/>
        <v>22691</v>
      </c>
    </row>
    <row r="88">
      <c r="A88" s="12">
        <v>30.0</v>
      </c>
      <c r="B88" s="12" t="s">
        <v>170</v>
      </c>
      <c r="C88" s="13" t="s">
        <v>192</v>
      </c>
      <c r="D88" s="14">
        <v>810.0</v>
      </c>
      <c r="E88" s="16"/>
      <c r="F88" s="14">
        <f t="shared" si="5"/>
        <v>810</v>
      </c>
      <c r="G88" s="19">
        <f t="shared" si="6"/>
        <v>23501</v>
      </c>
    </row>
    <row r="89">
      <c r="A89" s="12">
        <v>31.0</v>
      </c>
      <c r="B89" s="12" t="s">
        <v>104</v>
      </c>
      <c r="C89" s="13" t="s">
        <v>132</v>
      </c>
      <c r="D89" s="14">
        <v>849.0</v>
      </c>
      <c r="E89" s="16"/>
      <c r="F89" s="14">
        <f t="shared" si="5"/>
        <v>849</v>
      </c>
      <c r="G89" s="19">
        <f t="shared" si="6"/>
        <v>24350</v>
      </c>
    </row>
    <row r="90">
      <c r="A90" s="12">
        <v>32.0</v>
      </c>
      <c r="B90" s="12" t="s">
        <v>177</v>
      </c>
      <c r="C90" s="13" t="s">
        <v>190</v>
      </c>
      <c r="D90" s="14">
        <v>892.0</v>
      </c>
      <c r="E90" s="16"/>
      <c r="F90" s="14">
        <f t="shared" si="5"/>
        <v>892</v>
      </c>
      <c r="G90" s="19">
        <f t="shared" si="6"/>
        <v>25242</v>
      </c>
    </row>
    <row r="91">
      <c r="A91" s="12">
        <v>33.0</v>
      </c>
      <c r="B91" s="12" t="s">
        <v>106</v>
      </c>
      <c r="C91" s="13" t="s">
        <v>133</v>
      </c>
      <c r="D91" s="14">
        <v>700.0</v>
      </c>
      <c r="E91" s="16"/>
      <c r="F91" s="14">
        <f t="shared" si="5"/>
        <v>700</v>
      </c>
      <c r="G91" s="19">
        <f t="shared" si="6"/>
        <v>25942</v>
      </c>
    </row>
    <row r="92">
      <c r="A92" s="12">
        <v>34.0</v>
      </c>
      <c r="B92" s="12" t="s">
        <v>322</v>
      </c>
      <c r="C92" s="13" t="s">
        <v>345</v>
      </c>
      <c r="D92" s="14">
        <v>3305.0</v>
      </c>
      <c r="E92" s="16"/>
      <c r="F92" s="14">
        <f t="shared" si="5"/>
        <v>3305</v>
      </c>
      <c r="G92" s="19">
        <f t="shared" si="6"/>
        <v>29247</v>
      </c>
    </row>
    <row r="93">
      <c r="A93" s="24"/>
      <c r="B93" s="24"/>
      <c r="C93" s="26"/>
      <c r="D93" s="27">
        <v>35.0</v>
      </c>
      <c r="E93" s="28"/>
      <c r="F93" s="27">
        <f>SUM(F59:F92)</f>
        <v>29247</v>
      </c>
      <c r="G93" s="29">
        <f>G92</f>
        <v>29247</v>
      </c>
    </row>
    <row r="94">
      <c r="C94" s="30"/>
      <c r="G94" s="30"/>
    </row>
    <row r="95">
      <c r="A95" s="4" t="s">
        <v>413</v>
      </c>
      <c r="B95" s="5"/>
      <c r="C95" s="5"/>
      <c r="D95" s="5"/>
      <c r="E95" s="5"/>
      <c r="F95" s="5"/>
      <c r="G95" s="6"/>
    </row>
    <row r="96">
      <c r="A96" s="7"/>
      <c r="B96" s="8"/>
      <c r="C96" s="8"/>
      <c r="D96" s="8"/>
      <c r="E96" s="8"/>
      <c r="F96" s="8"/>
      <c r="G96" s="9"/>
    </row>
    <row r="97">
      <c r="A97" s="10"/>
      <c r="B97" s="10" t="s">
        <v>6</v>
      </c>
      <c r="C97" s="11" t="s">
        <v>7</v>
      </c>
      <c r="D97" s="10" t="s">
        <v>8</v>
      </c>
      <c r="E97" s="10" t="s">
        <v>9</v>
      </c>
      <c r="F97" s="10" t="s">
        <v>10</v>
      </c>
      <c r="G97" s="11" t="s">
        <v>11</v>
      </c>
    </row>
    <row r="98">
      <c r="A98" s="12">
        <v>1.0</v>
      </c>
      <c r="B98" s="12" t="s">
        <v>200</v>
      </c>
      <c r="C98" s="13" t="s">
        <v>362</v>
      </c>
      <c r="D98" s="14">
        <v>779.0</v>
      </c>
      <c r="E98" s="16"/>
      <c r="F98" s="14">
        <f t="shared" ref="F98:F131" si="7">SUM(D98:E98)</f>
        <v>779</v>
      </c>
      <c r="G98" s="19">
        <f>F98</f>
        <v>779</v>
      </c>
    </row>
    <row r="99">
      <c r="A99" s="12">
        <v>2.0</v>
      </c>
      <c r="B99" s="12" t="s">
        <v>202</v>
      </c>
      <c r="C99" s="13" t="s">
        <v>366</v>
      </c>
      <c r="D99" s="14">
        <v>818.0</v>
      </c>
      <c r="E99" s="16"/>
      <c r="F99" s="14">
        <f t="shared" si="7"/>
        <v>818</v>
      </c>
      <c r="G99" s="19">
        <f t="shared" ref="G99:G131" si="8">G98+F99</f>
        <v>1597</v>
      </c>
    </row>
    <row r="100">
      <c r="A100" s="12">
        <v>3.0</v>
      </c>
      <c r="B100" s="12" t="s">
        <v>202</v>
      </c>
      <c r="C100" s="13" t="s">
        <v>366</v>
      </c>
      <c r="D100" s="14">
        <v>860.0</v>
      </c>
      <c r="E100" s="16"/>
      <c r="F100" s="14">
        <f t="shared" si="7"/>
        <v>860</v>
      </c>
      <c r="G100" s="19">
        <f t="shared" si="8"/>
        <v>2457</v>
      </c>
    </row>
    <row r="101">
      <c r="A101" s="12">
        <v>4.0</v>
      </c>
      <c r="B101" s="12" t="s">
        <v>202</v>
      </c>
      <c r="C101" s="13" t="s">
        <v>366</v>
      </c>
      <c r="D101" s="14">
        <v>902.0</v>
      </c>
      <c r="E101" s="16"/>
      <c r="F101" s="14">
        <f t="shared" si="7"/>
        <v>902</v>
      </c>
      <c r="G101" s="19">
        <f t="shared" si="8"/>
        <v>3359</v>
      </c>
    </row>
    <row r="102">
      <c r="A102" s="12">
        <v>5.0</v>
      </c>
      <c r="B102" s="12" t="s">
        <v>200</v>
      </c>
      <c r="C102" s="13" t="s">
        <v>362</v>
      </c>
      <c r="D102" s="14">
        <v>818.0</v>
      </c>
      <c r="E102" s="16"/>
      <c r="F102" s="14">
        <f t="shared" si="7"/>
        <v>818</v>
      </c>
      <c r="G102" s="19">
        <f t="shared" si="8"/>
        <v>4177</v>
      </c>
    </row>
    <row r="103">
      <c r="A103" s="12">
        <v>6.0</v>
      </c>
      <c r="B103" s="12" t="s">
        <v>210</v>
      </c>
      <c r="C103" s="13" t="s">
        <v>365</v>
      </c>
      <c r="D103" s="14">
        <v>860.0</v>
      </c>
      <c r="E103" s="16"/>
      <c r="F103" s="14">
        <f t="shared" si="7"/>
        <v>860</v>
      </c>
      <c r="G103" s="19">
        <f t="shared" si="8"/>
        <v>5037</v>
      </c>
    </row>
    <row r="104">
      <c r="A104" s="12">
        <v>7.0</v>
      </c>
      <c r="B104" s="12" t="s">
        <v>210</v>
      </c>
      <c r="C104" s="13" t="s">
        <v>365</v>
      </c>
      <c r="D104" s="14">
        <v>902.0</v>
      </c>
      <c r="E104" s="16"/>
      <c r="F104" s="14">
        <f t="shared" si="7"/>
        <v>902</v>
      </c>
      <c r="G104" s="19">
        <f t="shared" si="8"/>
        <v>5939</v>
      </c>
    </row>
    <row r="105">
      <c r="A105" s="12">
        <v>8.0</v>
      </c>
      <c r="B105" s="12" t="s">
        <v>206</v>
      </c>
      <c r="C105" s="13" t="s">
        <v>364</v>
      </c>
      <c r="D105" s="14">
        <v>818.0</v>
      </c>
      <c r="E105" s="16"/>
      <c r="F105" s="14">
        <f t="shared" si="7"/>
        <v>818</v>
      </c>
      <c r="G105" s="19">
        <f t="shared" si="8"/>
        <v>6757</v>
      </c>
    </row>
    <row r="106">
      <c r="A106" s="12">
        <v>9.0</v>
      </c>
      <c r="B106" s="12" t="s">
        <v>206</v>
      </c>
      <c r="C106" s="13" t="s">
        <v>364</v>
      </c>
      <c r="D106" s="14">
        <v>860.0</v>
      </c>
      <c r="E106" s="16"/>
      <c r="F106" s="14">
        <f t="shared" si="7"/>
        <v>860</v>
      </c>
      <c r="G106" s="19">
        <f t="shared" si="8"/>
        <v>7617</v>
      </c>
    </row>
    <row r="107">
      <c r="A107" s="12">
        <v>10.0</v>
      </c>
      <c r="B107" s="12" t="s">
        <v>206</v>
      </c>
      <c r="C107" s="13" t="s">
        <v>364</v>
      </c>
      <c r="D107" s="14">
        <v>902.0</v>
      </c>
      <c r="E107" s="16"/>
      <c r="F107" s="14">
        <f t="shared" si="7"/>
        <v>902</v>
      </c>
      <c r="G107" s="19">
        <f t="shared" si="8"/>
        <v>8519</v>
      </c>
    </row>
    <row r="108">
      <c r="A108" s="12">
        <v>11.0</v>
      </c>
      <c r="B108" s="12" t="s">
        <v>212</v>
      </c>
      <c r="C108" s="13" t="s">
        <v>367</v>
      </c>
      <c r="D108" s="14">
        <v>1610.0</v>
      </c>
      <c r="E108" s="14">
        <v>1691.0</v>
      </c>
      <c r="F108" s="14">
        <f t="shared" si="7"/>
        <v>3301</v>
      </c>
      <c r="G108" s="19">
        <f t="shared" si="8"/>
        <v>11820</v>
      </c>
    </row>
    <row r="109">
      <c r="A109" s="12">
        <v>12.0</v>
      </c>
      <c r="B109" s="12" t="s">
        <v>214</v>
      </c>
      <c r="C109" s="13" t="s">
        <v>355</v>
      </c>
      <c r="D109" s="14">
        <v>779.0</v>
      </c>
      <c r="E109" s="16"/>
      <c r="F109" s="14">
        <f t="shared" si="7"/>
        <v>779</v>
      </c>
      <c r="G109" s="19">
        <f t="shared" si="8"/>
        <v>12599</v>
      </c>
    </row>
    <row r="110">
      <c r="A110" s="12">
        <v>13.0</v>
      </c>
      <c r="B110" s="12" t="s">
        <v>218</v>
      </c>
      <c r="C110" s="13" t="s">
        <v>359</v>
      </c>
      <c r="D110" s="14">
        <v>818.0</v>
      </c>
      <c r="E110" s="16"/>
      <c r="F110" s="14">
        <f t="shared" si="7"/>
        <v>818</v>
      </c>
      <c r="G110" s="19">
        <f t="shared" si="8"/>
        <v>13417</v>
      </c>
    </row>
    <row r="111">
      <c r="A111" s="12">
        <v>14.0</v>
      </c>
      <c r="B111" s="12" t="s">
        <v>218</v>
      </c>
      <c r="C111" s="13" t="s">
        <v>359</v>
      </c>
      <c r="D111" s="14">
        <v>860.0</v>
      </c>
      <c r="E111" s="16"/>
      <c r="F111" s="14">
        <f t="shared" si="7"/>
        <v>860</v>
      </c>
      <c r="G111" s="19">
        <f t="shared" si="8"/>
        <v>14277</v>
      </c>
    </row>
    <row r="112">
      <c r="A112" s="12">
        <v>15.0</v>
      </c>
      <c r="B112" s="12" t="s">
        <v>218</v>
      </c>
      <c r="C112" s="13" t="s">
        <v>359</v>
      </c>
      <c r="D112" s="14">
        <v>902.0</v>
      </c>
      <c r="E112" s="16"/>
      <c r="F112" s="14">
        <f t="shared" si="7"/>
        <v>902</v>
      </c>
      <c r="G112" s="19">
        <f t="shared" si="8"/>
        <v>15179</v>
      </c>
    </row>
    <row r="113">
      <c r="A113" s="12">
        <v>16.0</v>
      </c>
      <c r="B113" s="12" t="s">
        <v>214</v>
      </c>
      <c r="C113" s="13" t="s">
        <v>355</v>
      </c>
      <c r="D113" s="14">
        <v>818.0</v>
      </c>
      <c r="E113" s="16"/>
      <c r="F113" s="14">
        <f t="shared" si="7"/>
        <v>818</v>
      </c>
      <c r="G113" s="19">
        <f t="shared" si="8"/>
        <v>15997</v>
      </c>
    </row>
    <row r="114">
      <c r="A114" s="12">
        <v>17.0</v>
      </c>
      <c r="B114" s="12" t="s">
        <v>224</v>
      </c>
      <c r="C114" s="13" t="s">
        <v>357</v>
      </c>
      <c r="D114" s="14">
        <v>860.0</v>
      </c>
      <c r="E114" s="16"/>
      <c r="F114" s="14">
        <f t="shared" si="7"/>
        <v>860</v>
      </c>
      <c r="G114" s="19">
        <f t="shared" si="8"/>
        <v>16857</v>
      </c>
    </row>
    <row r="115">
      <c r="A115" s="12">
        <v>18.0</v>
      </c>
      <c r="B115" s="12" t="s">
        <v>224</v>
      </c>
      <c r="C115" s="13" t="s">
        <v>357</v>
      </c>
      <c r="D115" s="14">
        <v>902.0</v>
      </c>
      <c r="E115" s="16"/>
      <c r="F115" s="14">
        <f t="shared" si="7"/>
        <v>902</v>
      </c>
      <c r="G115" s="19">
        <f t="shared" si="8"/>
        <v>17759</v>
      </c>
    </row>
    <row r="116">
      <c r="A116" s="12">
        <v>19.0</v>
      </c>
      <c r="B116" s="12" t="s">
        <v>157</v>
      </c>
      <c r="C116" s="13" t="s">
        <v>356</v>
      </c>
      <c r="D116" s="14">
        <v>818.0</v>
      </c>
      <c r="E116" s="16"/>
      <c r="F116" s="14">
        <f t="shared" si="7"/>
        <v>818</v>
      </c>
      <c r="G116" s="19">
        <f t="shared" si="8"/>
        <v>18577</v>
      </c>
    </row>
    <row r="117">
      <c r="A117" s="12">
        <v>20.0</v>
      </c>
      <c r="B117" s="12" t="s">
        <v>157</v>
      </c>
      <c r="C117" s="13" t="s">
        <v>356</v>
      </c>
      <c r="D117" s="14">
        <v>860.0</v>
      </c>
      <c r="E117" s="16"/>
      <c r="F117" s="14">
        <f t="shared" si="7"/>
        <v>860</v>
      </c>
      <c r="G117" s="19">
        <f t="shared" si="8"/>
        <v>19437</v>
      </c>
    </row>
    <row r="118">
      <c r="A118" s="12">
        <v>21.0</v>
      </c>
      <c r="B118" s="12" t="s">
        <v>157</v>
      </c>
      <c r="C118" s="13" t="s">
        <v>356</v>
      </c>
      <c r="D118" s="14">
        <v>902.0</v>
      </c>
      <c r="E118" s="16"/>
      <c r="F118" s="14">
        <f t="shared" si="7"/>
        <v>902</v>
      </c>
      <c r="G118" s="19">
        <f t="shared" si="8"/>
        <v>20339</v>
      </c>
    </row>
    <row r="119">
      <c r="A119" s="12">
        <v>22.0</v>
      </c>
      <c r="B119" s="12" t="s">
        <v>230</v>
      </c>
      <c r="C119" s="13" t="s">
        <v>360</v>
      </c>
      <c r="D119" s="14">
        <v>1610.0</v>
      </c>
      <c r="E119" s="14">
        <v>1691.0</v>
      </c>
      <c r="F119" s="14">
        <f t="shared" si="7"/>
        <v>3301</v>
      </c>
      <c r="G119" s="19">
        <f t="shared" si="8"/>
        <v>23640</v>
      </c>
    </row>
    <row r="120">
      <c r="A120" s="12">
        <v>23.0</v>
      </c>
      <c r="B120" s="12" t="s">
        <v>226</v>
      </c>
      <c r="C120" s="13" t="s">
        <v>348</v>
      </c>
      <c r="D120" s="14">
        <v>779.0</v>
      </c>
      <c r="E120" s="16"/>
      <c r="F120" s="14">
        <f t="shared" si="7"/>
        <v>779</v>
      </c>
      <c r="G120" s="19">
        <f t="shared" si="8"/>
        <v>24419</v>
      </c>
    </row>
    <row r="121">
      <c r="A121" s="12">
        <v>24.0</v>
      </c>
      <c r="B121" s="12" t="s">
        <v>237</v>
      </c>
      <c r="C121" s="13" t="s">
        <v>352</v>
      </c>
      <c r="D121" s="14">
        <v>818.0</v>
      </c>
      <c r="E121" s="16"/>
      <c r="F121" s="14">
        <f t="shared" si="7"/>
        <v>818</v>
      </c>
      <c r="G121" s="19">
        <f t="shared" si="8"/>
        <v>25237</v>
      </c>
    </row>
    <row r="122">
      <c r="A122" s="12">
        <v>25.0</v>
      </c>
      <c r="B122" s="12" t="s">
        <v>237</v>
      </c>
      <c r="C122" s="13" t="s">
        <v>352</v>
      </c>
      <c r="D122" s="14">
        <v>860.0</v>
      </c>
      <c r="E122" s="16"/>
      <c r="F122" s="14">
        <f t="shared" si="7"/>
        <v>860</v>
      </c>
      <c r="G122" s="19">
        <f t="shared" si="8"/>
        <v>26097</v>
      </c>
    </row>
    <row r="123">
      <c r="A123" s="12">
        <v>26.0</v>
      </c>
      <c r="B123" s="12" t="s">
        <v>237</v>
      </c>
      <c r="C123" s="13" t="s">
        <v>352</v>
      </c>
      <c r="D123" s="14">
        <v>902.0</v>
      </c>
      <c r="E123" s="16"/>
      <c r="F123" s="14">
        <f t="shared" si="7"/>
        <v>902</v>
      </c>
      <c r="G123" s="19">
        <f t="shared" si="8"/>
        <v>26999</v>
      </c>
    </row>
    <row r="124">
      <c r="A124" s="12">
        <v>27.0</v>
      </c>
      <c r="B124" s="12" t="s">
        <v>226</v>
      </c>
      <c r="C124" s="13" t="s">
        <v>348</v>
      </c>
      <c r="D124" s="14">
        <v>818.0</v>
      </c>
      <c r="E124" s="16"/>
      <c r="F124" s="14">
        <f t="shared" si="7"/>
        <v>818</v>
      </c>
      <c r="G124" s="19">
        <f t="shared" si="8"/>
        <v>27817</v>
      </c>
    </row>
    <row r="125">
      <c r="A125" s="12">
        <v>28.0</v>
      </c>
      <c r="B125" s="12" t="s">
        <v>242</v>
      </c>
      <c r="C125" s="13" t="s">
        <v>351</v>
      </c>
      <c r="D125" s="14">
        <v>860.0</v>
      </c>
      <c r="E125" s="16"/>
      <c r="F125" s="14">
        <f t="shared" si="7"/>
        <v>860</v>
      </c>
      <c r="G125" s="19">
        <f t="shared" si="8"/>
        <v>28677</v>
      </c>
    </row>
    <row r="126">
      <c r="A126" s="12">
        <v>29.0</v>
      </c>
      <c r="B126" s="12" t="s">
        <v>242</v>
      </c>
      <c r="C126" s="13" t="s">
        <v>351</v>
      </c>
      <c r="D126" s="14">
        <v>902.0</v>
      </c>
      <c r="E126" s="16"/>
      <c r="F126" s="14">
        <f t="shared" si="7"/>
        <v>902</v>
      </c>
      <c r="G126" s="19">
        <f t="shared" si="8"/>
        <v>29579</v>
      </c>
    </row>
    <row r="127">
      <c r="A127" s="12">
        <v>30.0</v>
      </c>
      <c r="B127" s="12" t="s">
        <v>234</v>
      </c>
      <c r="C127" s="13" t="s">
        <v>349</v>
      </c>
      <c r="D127" s="14">
        <v>818.0</v>
      </c>
      <c r="E127" s="16"/>
      <c r="F127" s="14">
        <f t="shared" si="7"/>
        <v>818</v>
      </c>
      <c r="G127" s="19">
        <f t="shared" si="8"/>
        <v>30397</v>
      </c>
    </row>
    <row r="128">
      <c r="A128" s="12">
        <v>31.0</v>
      </c>
      <c r="B128" s="12" t="s">
        <v>234</v>
      </c>
      <c r="C128" s="13" t="s">
        <v>349</v>
      </c>
      <c r="D128" s="14">
        <v>860.0</v>
      </c>
      <c r="E128" s="16"/>
      <c r="F128" s="14">
        <f t="shared" si="7"/>
        <v>860</v>
      </c>
      <c r="G128" s="19">
        <f t="shared" si="8"/>
        <v>31257</v>
      </c>
    </row>
    <row r="129">
      <c r="A129" s="12">
        <v>32.0</v>
      </c>
      <c r="B129" s="12" t="s">
        <v>234</v>
      </c>
      <c r="C129" s="13" t="s">
        <v>349</v>
      </c>
      <c r="D129" s="14">
        <v>902.0</v>
      </c>
      <c r="E129" s="16"/>
      <c r="F129" s="14">
        <f t="shared" si="7"/>
        <v>902</v>
      </c>
      <c r="G129" s="19">
        <f t="shared" si="8"/>
        <v>32159</v>
      </c>
    </row>
    <row r="130">
      <c r="A130" s="12">
        <v>33.0</v>
      </c>
      <c r="B130" s="12" t="s">
        <v>244</v>
      </c>
      <c r="C130" s="13" t="s">
        <v>354</v>
      </c>
      <c r="D130" s="14">
        <v>1610.0</v>
      </c>
      <c r="E130" s="14">
        <v>1691.0</v>
      </c>
      <c r="F130" s="14">
        <f t="shared" si="7"/>
        <v>3301</v>
      </c>
      <c r="G130" s="19">
        <f t="shared" si="8"/>
        <v>35460</v>
      </c>
    </row>
    <row r="131">
      <c r="A131" s="12">
        <v>34.0</v>
      </c>
      <c r="B131" s="12" t="s">
        <v>369</v>
      </c>
      <c r="C131" s="23" t="s">
        <v>457</v>
      </c>
      <c r="D131" s="14">
        <v>4477.0</v>
      </c>
      <c r="E131" s="16"/>
      <c r="F131" s="14">
        <f t="shared" si="7"/>
        <v>4477</v>
      </c>
      <c r="G131" s="19">
        <f t="shared" si="8"/>
        <v>39937</v>
      </c>
    </row>
    <row r="132">
      <c r="A132" s="24"/>
      <c r="B132" s="24"/>
      <c r="C132" s="26"/>
      <c r="D132" s="27">
        <v>37.0</v>
      </c>
      <c r="E132" s="28"/>
      <c r="F132" s="27">
        <f>SUM(F98:F131)</f>
        <v>39937</v>
      </c>
      <c r="G132" s="29">
        <f>G131</f>
        <v>39937</v>
      </c>
    </row>
  </sheetData>
  <mergeCells count="4">
    <mergeCell ref="A1:G2"/>
    <mergeCell ref="A23:G24"/>
    <mergeCell ref="A56:G57"/>
    <mergeCell ref="A95:G96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8.57"/>
    <col customWidth="1" min="3" max="3" width="74.57"/>
    <col customWidth="1" min="4" max="5" width="7.14"/>
    <col customWidth="1" min="6" max="6" width="7.0"/>
    <col customWidth="1" min="7" max="7" width="8.57"/>
  </cols>
  <sheetData>
    <row r="1">
      <c r="A1" s="4" t="s">
        <v>199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12</v>
      </c>
      <c r="C4" s="13" t="s">
        <v>13</v>
      </c>
      <c r="D4" s="14">
        <v>262.0</v>
      </c>
      <c r="E4" s="16"/>
      <c r="F4" s="14">
        <f t="shared" ref="F4:F20" si="1">SUM(D4:E4)</f>
        <v>262</v>
      </c>
      <c r="G4" s="19">
        <f>F4</f>
        <v>262</v>
      </c>
    </row>
    <row r="5">
      <c r="A5" s="12">
        <v>2.0</v>
      </c>
      <c r="B5" s="12" t="s">
        <v>12</v>
      </c>
      <c r="C5" s="13" t="s">
        <v>13</v>
      </c>
      <c r="D5" s="14">
        <v>275.0</v>
      </c>
      <c r="E5" s="16"/>
      <c r="F5" s="14">
        <f t="shared" si="1"/>
        <v>275</v>
      </c>
      <c r="G5" s="19">
        <f t="shared" ref="G5:G20" si="2">G4+F5</f>
        <v>537</v>
      </c>
    </row>
    <row r="6">
      <c r="A6" s="12">
        <v>3.0</v>
      </c>
      <c r="B6" s="12" t="s">
        <v>12</v>
      </c>
      <c r="C6" s="13" t="s">
        <v>13</v>
      </c>
      <c r="D6" s="14">
        <v>290.0</v>
      </c>
      <c r="E6" s="16"/>
      <c r="F6" s="14">
        <f t="shared" si="1"/>
        <v>290</v>
      </c>
      <c r="G6" s="19">
        <f t="shared" si="2"/>
        <v>827</v>
      </c>
    </row>
    <row r="7">
      <c r="A7" s="12">
        <v>4.0</v>
      </c>
      <c r="B7" s="12" t="s">
        <v>12</v>
      </c>
      <c r="C7" s="13" t="s">
        <v>13</v>
      </c>
      <c r="D7" s="14">
        <v>303.0</v>
      </c>
      <c r="E7" s="16"/>
      <c r="F7" s="14">
        <f t="shared" si="1"/>
        <v>303</v>
      </c>
      <c r="G7" s="19">
        <f t="shared" si="2"/>
        <v>1130</v>
      </c>
    </row>
    <row r="8">
      <c r="A8" s="12">
        <v>5.0</v>
      </c>
      <c r="B8" s="12" t="s">
        <v>12</v>
      </c>
      <c r="C8" s="13" t="s">
        <v>13</v>
      </c>
      <c r="D8" s="14">
        <v>319.0</v>
      </c>
      <c r="E8" s="16"/>
      <c r="F8" s="14">
        <f t="shared" si="1"/>
        <v>319</v>
      </c>
      <c r="G8" s="19">
        <f t="shared" si="2"/>
        <v>1449</v>
      </c>
    </row>
    <row r="9">
      <c r="A9" s="12">
        <v>6.0</v>
      </c>
      <c r="B9" s="12" t="s">
        <v>12</v>
      </c>
      <c r="C9" s="13" t="s">
        <v>13</v>
      </c>
      <c r="D9" s="14">
        <v>335.0</v>
      </c>
      <c r="E9" s="16"/>
      <c r="F9" s="14">
        <f t="shared" si="1"/>
        <v>335</v>
      </c>
      <c r="G9" s="19">
        <f t="shared" si="2"/>
        <v>1784</v>
      </c>
    </row>
    <row r="10">
      <c r="A10" s="12">
        <v>7.0</v>
      </c>
      <c r="B10" s="12" t="s">
        <v>281</v>
      </c>
      <c r="C10" s="13" t="s">
        <v>299</v>
      </c>
      <c r="D10" s="14">
        <v>598.0</v>
      </c>
      <c r="E10" s="14">
        <v>628.0</v>
      </c>
      <c r="F10" s="14">
        <f t="shared" si="1"/>
        <v>1226</v>
      </c>
      <c r="G10" s="19">
        <f t="shared" si="2"/>
        <v>3010</v>
      </c>
    </row>
    <row r="11">
      <c r="A11" s="12">
        <v>8.0</v>
      </c>
      <c r="B11" s="12" t="s">
        <v>22</v>
      </c>
      <c r="C11" s="13" t="s">
        <v>23</v>
      </c>
      <c r="D11" s="14">
        <v>262.0</v>
      </c>
      <c r="E11" s="16"/>
      <c r="F11" s="14">
        <f t="shared" si="1"/>
        <v>262</v>
      </c>
      <c r="G11" s="19">
        <f t="shared" si="2"/>
        <v>3272</v>
      </c>
    </row>
    <row r="12">
      <c r="A12" s="12">
        <v>9.0</v>
      </c>
      <c r="B12" s="12" t="s">
        <v>22</v>
      </c>
      <c r="C12" s="13" t="s">
        <v>23</v>
      </c>
      <c r="D12" s="14">
        <v>275.0</v>
      </c>
      <c r="E12" s="16"/>
      <c r="F12" s="14">
        <f t="shared" si="1"/>
        <v>275</v>
      </c>
      <c r="G12" s="19">
        <f t="shared" si="2"/>
        <v>3547</v>
      </c>
    </row>
    <row r="13">
      <c r="A13" s="12">
        <v>10.0</v>
      </c>
      <c r="B13" s="12" t="s">
        <v>25</v>
      </c>
      <c r="C13" s="13" t="s">
        <v>26</v>
      </c>
      <c r="D13" s="14">
        <v>262.0</v>
      </c>
      <c r="E13" s="16"/>
      <c r="F13" s="14">
        <f t="shared" si="1"/>
        <v>262</v>
      </c>
      <c r="G13" s="19">
        <f t="shared" si="2"/>
        <v>3809</v>
      </c>
    </row>
    <row r="14">
      <c r="A14" s="12">
        <v>11.0</v>
      </c>
      <c r="B14" s="12" t="s">
        <v>25</v>
      </c>
      <c r="C14" s="13" t="s">
        <v>26</v>
      </c>
      <c r="D14" s="14">
        <v>275.0</v>
      </c>
      <c r="E14" s="16"/>
      <c r="F14" s="14">
        <f t="shared" si="1"/>
        <v>275</v>
      </c>
      <c r="G14" s="19">
        <f t="shared" si="2"/>
        <v>4084</v>
      </c>
    </row>
    <row r="15">
      <c r="A15" s="12">
        <v>12.0</v>
      </c>
      <c r="B15" s="12" t="s">
        <v>25</v>
      </c>
      <c r="C15" s="13" t="s">
        <v>26</v>
      </c>
      <c r="D15" s="14">
        <v>290.0</v>
      </c>
      <c r="E15" s="16"/>
      <c r="F15" s="14">
        <f t="shared" si="1"/>
        <v>290</v>
      </c>
      <c r="G15" s="19">
        <f t="shared" si="2"/>
        <v>4374</v>
      </c>
    </row>
    <row r="16">
      <c r="A16" s="12">
        <v>13.0</v>
      </c>
      <c r="B16" s="12" t="s">
        <v>25</v>
      </c>
      <c r="C16" s="13" t="s">
        <v>26</v>
      </c>
      <c r="D16" s="14">
        <v>303.0</v>
      </c>
      <c r="E16" s="16"/>
      <c r="F16" s="14">
        <f t="shared" si="1"/>
        <v>303</v>
      </c>
      <c r="G16" s="19">
        <f t="shared" si="2"/>
        <v>4677</v>
      </c>
    </row>
    <row r="17">
      <c r="A17" s="12">
        <v>14.0</v>
      </c>
      <c r="B17" s="12" t="s">
        <v>25</v>
      </c>
      <c r="C17" s="13" t="s">
        <v>26</v>
      </c>
      <c r="D17" s="14">
        <v>319.0</v>
      </c>
      <c r="E17" s="16"/>
      <c r="F17" s="14">
        <f t="shared" si="1"/>
        <v>319</v>
      </c>
      <c r="G17" s="19">
        <f t="shared" si="2"/>
        <v>4996</v>
      </c>
    </row>
    <row r="18">
      <c r="A18" s="12">
        <v>15.0</v>
      </c>
      <c r="B18" s="12" t="s">
        <v>25</v>
      </c>
      <c r="C18" s="13" t="s">
        <v>26</v>
      </c>
      <c r="D18" s="14">
        <v>335.0</v>
      </c>
      <c r="E18" s="16"/>
      <c r="F18" s="14">
        <f t="shared" si="1"/>
        <v>335</v>
      </c>
      <c r="G18" s="19">
        <f t="shared" si="2"/>
        <v>5331</v>
      </c>
    </row>
    <row r="19">
      <c r="A19" s="12">
        <v>16.0</v>
      </c>
      <c r="B19" s="12" t="s">
        <v>28</v>
      </c>
      <c r="C19" s="13" t="s">
        <v>29</v>
      </c>
      <c r="D19" s="14">
        <v>598.0</v>
      </c>
      <c r="E19" s="14">
        <v>628.0</v>
      </c>
      <c r="F19" s="14">
        <f t="shared" si="1"/>
        <v>1226</v>
      </c>
      <c r="G19" s="19">
        <f t="shared" si="2"/>
        <v>6557</v>
      </c>
    </row>
    <row r="20">
      <c r="A20" s="12">
        <v>17.0</v>
      </c>
      <c r="B20" s="12" t="s">
        <v>138</v>
      </c>
      <c r="C20" s="13" t="s">
        <v>175</v>
      </c>
      <c r="D20" s="14">
        <v>1661.0</v>
      </c>
      <c r="E20" s="16"/>
      <c r="F20" s="14">
        <f t="shared" si="1"/>
        <v>1661</v>
      </c>
      <c r="G20" s="19">
        <f t="shared" si="2"/>
        <v>8218</v>
      </c>
    </row>
    <row r="21">
      <c r="A21" s="24"/>
      <c r="B21" s="24"/>
      <c r="C21" s="26"/>
      <c r="D21" s="27">
        <v>19.0</v>
      </c>
      <c r="E21" s="28"/>
      <c r="F21" s="27">
        <f>SUM(F4:F20)</f>
        <v>8218</v>
      </c>
      <c r="G21" s="29">
        <f>G20</f>
        <v>8218</v>
      </c>
    </row>
    <row r="22">
      <c r="C22" s="30"/>
      <c r="G22" s="30"/>
    </row>
    <row r="23">
      <c r="A23" s="4" t="s">
        <v>397</v>
      </c>
      <c r="B23" s="5"/>
      <c r="C23" s="5"/>
      <c r="D23" s="5"/>
      <c r="E23" s="5"/>
      <c r="F23" s="5"/>
      <c r="G23" s="6"/>
    </row>
    <row r="24">
      <c r="A24" s="7"/>
      <c r="B24" s="8"/>
      <c r="C24" s="8"/>
      <c r="D24" s="8"/>
      <c r="E24" s="8"/>
      <c r="F24" s="8"/>
      <c r="G24" s="9"/>
    </row>
    <row r="25">
      <c r="A25" s="10"/>
      <c r="B25" s="10" t="s">
        <v>6</v>
      </c>
      <c r="C25" s="11" t="s">
        <v>7</v>
      </c>
      <c r="D25" s="10" t="s">
        <v>8</v>
      </c>
      <c r="E25" s="10" t="s">
        <v>9</v>
      </c>
      <c r="F25" s="10" t="s">
        <v>10</v>
      </c>
      <c r="G25" s="11" t="s">
        <v>11</v>
      </c>
    </row>
    <row r="26">
      <c r="A26" s="12">
        <v>1.0</v>
      </c>
      <c r="B26" s="12" t="s">
        <v>93</v>
      </c>
      <c r="C26" s="13" t="s">
        <v>94</v>
      </c>
      <c r="D26" s="14">
        <v>332.0</v>
      </c>
      <c r="E26" s="16"/>
      <c r="F26" s="14">
        <f t="shared" ref="F26:F53" si="3">SUM(D26:E26)</f>
        <v>332</v>
      </c>
      <c r="G26" s="19">
        <f>F26</f>
        <v>332</v>
      </c>
    </row>
    <row r="27">
      <c r="A27" s="12">
        <v>2.0</v>
      </c>
      <c r="B27" s="12" t="s">
        <v>151</v>
      </c>
      <c r="C27" s="13" t="s">
        <v>191</v>
      </c>
      <c r="D27" s="14">
        <v>350.0</v>
      </c>
      <c r="E27" s="16"/>
      <c r="F27" s="14">
        <f t="shared" si="3"/>
        <v>350</v>
      </c>
      <c r="G27" s="19">
        <f t="shared" ref="G27:G53" si="4">G26+F27</f>
        <v>682</v>
      </c>
    </row>
    <row r="28">
      <c r="A28" s="12">
        <v>3.0</v>
      </c>
      <c r="B28" s="12" t="s">
        <v>151</v>
      </c>
      <c r="C28" s="13" t="s">
        <v>191</v>
      </c>
      <c r="D28" s="14">
        <v>366.0</v>
      </c>
      <c r="E28" s="16"/>
      <c r="F28" s="14">
        <f t="shared" si="3"/>
        <v>366</v>
      </c>
      <c r="G28" s="19">
        <f t="shared" si="4"/>
        <v>1048</v>
      </c>
    </row>
    <row r="29">
      <c r="A29" s="12">
        <v>4.0</v>
      </c>
      <c r="B29" s="12" t="s">
        <v>148</v>
      </c>
      <c r="C29" s="13" t="s">
        <v>189</v>
      </c>
      <c r="D29" s="14">
        <v>385.0</v>
      </c>
      <c r="E29" s="16"/>
      <c r="F29" s="14">
        <f t="shared" si="3"/>
        <v>385</v>
      </c>
      <c r="G29" s="19">
        <f t="shared" si="4"/>
        <v>1433</v>
      </c>
    </row>
    <row r="30">
      <c r="A30" s="12">
        <v>5.0</v>
      </c>
      <c r="B30" s="12" t="s">
        <v>157</v>
      </c>
      <c r="C30" s="13" t="s">
        <v>197</v>
      </c>
      <c r="D30" s="14">
        <v>350.0</v>
      </c>
      <c r="E30" s="16"/>
      <c r="F30" s="14">
        <f t="shared" si="3"/>
        <v>350</v>
      </c>
      <c r="G30" s="19">
        <f t="shared" si="4"/>
        <v>1783</v>
      </c>
    </row>
    <row r="31">
      <c r="A31" s="12">
        <v>6.0</v>
      </c>
      <c r="B31" s="12" t="s">
        <v>93</v>
      </c>
      <c r="C31" s="13" t="s">
        <v>94</v>
      </c>
      <c r="D31" s="14">
        <v>366.0</v>
      </c>
      <c r="E31" s="16"/>
      <c r="F31" s="14">
        <f t="shared" si="3"/>
        <v>366</v>
      </c>
      <c r="G31" s="19">
        <f t="shared" si="4"/>
        <v>2149</v>
      </c>
    </row>
    <row r="32">
      <c r="A32" s="12">
        <v>7.0</v>
      </c>
      <c r="B32" s="12" t="s">
        <v>148</v>
      </c>
      <c r="C32" s="13" t="s">
        <v>189</v>
      </c>
      <c r="D32" s="14">
        <v>385.0</v>
      </c>
      <c r="E32" s="16"/>
      <c r="F32" s="14">
        <f t="shared" si="3"/>
        <v>385</v>
      </c>
      <c r="G32" s="19">
        <f t="shared" si="4"/>
        <v>2534</v>
      </c>
    </row>
    <row r="33">
      <c r="A33" s="12">
        <v>8.0</v>
      </c>
      <c r="B33" s="12" t="s">
        <v>99</v>
      </c>
      <c r="C33" s="13" t="s">
        <v>100</v>
      </c>
      <c r="D33" s="14">
        <v>404.0</v>
      </c>
      <c r="E33" s="16"/>
      <c r="F33" s="14">
        <f t="shared" si="3"/>
        <v>404</v>
      </c>
      <c r="G33" s="19">
        <f t="shared" si="4"/>
        <v>2938</v>
      </c>
    </row>
    <row r="34">
      <c r="A34" s="12">
        <v>9.0</v>
      </c>
      <c r="B34" s="12" t="s">
        <v>153</v>
      </c>
      <c r="C34" s="13" t="s">
        <v>415</v>
      </c>
      <c r="D34" s="14">
        <v>722.0</v>
      </c>
      <c r="E34" s="14">
        <v>758.0</v>
      </c>
      <c r="F34" s="14">
        <f t="shared" si="3"/>
        <v>1480</v>
      </c>
      <c r="G34" s="19">
        <f t="shared" si="4"/>
        <v>4418</v>
      </c>
    </row>
    <row r="35">
      <c r="A35" s="12">
        <v>10.0</v>
      </c>
      <c r="B35" s="12" t="s">
        <v>151</v>
      </c>
      <c r="C35" s="13" t="s">
        <v>191</v>
      </c>
      <c r="D35" s="14">
        <v>332.0</v>
      </c>
      <c r="E35" s="16"/>
      <c r="F35" s="14">
        <f t="shared" si="3"/>
        <v>332</v>
      </c>
      <c r="G35" s="19">
        <f t="shared" si="4"/>
        <v>4750</v>
      </c>
    </row>
    <row r="36">
      <c r="A36" s="12">
        <v>11.0</v>
      </c>
      <c r="B36" s="12" t="s">
        <v>151</v>
      </c>
      <c r="C36" s="13" t="s">
        <v>191</v>
      </c>
      <c r="D36" s="14">
        <v>350.0</v>
      </c>
      <c r="E36" s="16"/>
      <c r="F36" s="14">
        <f t="shared" si="3"/>
        <v>350</v>
      </c>
      <c r="G36" s="19">
        <f t="shared" si="4"/>
        <v>5100</v>
      </c>
    </row>
    <row r="37">
      <c r="A37" s="12">
        <v>12.0</v>
      </c>
      <c r="B37" s="12" t="s">
        <v>148</v>
      </c>
      <c r="C37" s="13" t="s">
        <v>189</v>
      </c>
      <c r="D37" s="14">
        <v>366.0</v>
      </c>
      <c r="E37" s="16"/>
      <c r="F37" s="14">
        <f t="shared" si="3"/>
        <v>366</v>
      </c>
      <c r="G37" s="19">
        <f t="shared" si="4"/>
        <v>5466</v>
      </c>
    </row>
    <row r="38">
      <c r="A38" s="12">
        <v>13.0</v>
      </c>
      <c r="B38" s="12" t="s">
        <v>151</v>
      </c>
      <c r="C38" s="13" t="s">
        <v>191</v>
      </c>
      <c r="D38" s="14">
        <v>385.0</v>
      </c>
      <c r="E38" s="16"/>
      <c r="F38" s="14">
        <f t="shared" si="3"/>
        <v>385</v>
      </c>
      <c r="G38" s="19">
        <f t="shared" si="4"/>
        <v>5851</v>
      </c>
    </row>
    <row r="39">
      <c r="A39" s="12">
        <v>14.0</v>
      </c>
      <c r="B39" s="12" t="s">
        <v>151</v>
      </c>
      <c r="C39" s="13" t="s">
        <v>191</v>
      </c>
      <c r="D39" s="14">
        <v>350.0</v>
      </c>
      <c r="E39" s="16"/>
      <c r="F39" s="14">
        <f t="shared" si="3"/>
        <v>350</v>
      </c>
      <c r="G39" s="19">
        <f t="shared" si="4"/>
        <v>6201</v>
      </c>
    </row>
    <row r="40">
      <c r="A40" s="12">
        <v>15.0</v>
      </c>
      <c r="B40" s="12" t="s">
        <v>99</v>
      </c>
      <c r="C40" s="13" t="s">
        <v>100</v>
      </c>
      <c r="D40" s="14">
        <v>366.0</v>
      </c>
      <c r="E40" s="16"/>
      <c r="F40" s="14">
        <f t="shared" si="3"/>
        <v>366</v>
      </c>
      <c r="G40" s="19">
        <f t="shared" si="4"/>
        <v>6567</v>
      </c>
    </row>
    <row r="41">
      <c r="A41" s="12">
        <v>16.0</v>
      </c>
      <c r="B41" s="12" t="s">
        <v>151</v>
      </c>
      <c r="C41" s="13" t="s">
        <v>191</v>
      </c>
      <c r="D41" s="14">
        <v>385.0</v>
      </c>
      <c r="E41" s="16"/>
      <c r="F41" s="14">
        <f t="shared" si="3"/>
        <v>385</v>
      </c>
      <c r="G41" s="19">
        <f t="shared" si="4"/>
        <v>6952</v>
      </c>
    </row>
    <row r="42">
      <c r="A42" s="12">
        <v>17.0</v>
      </c>
      <c r="B42" s="12" t="s">
        <v>93</v>
      </c>
      <c r="C42" s="13" t="s">
        <v>94</v>
      </c>
      <c r="D42" s="14">
        <v>404.0</v>
      </c>
      <c r="E42" s="16"/>
      <c r="F42" s="14">
        <f t="shared" si="3"/>
        <v>404</v>
      </c>
      <c r="G42" s="19">
        <f t="shared" si="4"/>
        <v>7356</v>
      </c>
    </row>
    <row r="43">
      <c r="A43" s="12">
        <v>18.0</v>
      </c>
      <c r="B43" s="12" t="s">
        <v>153</v>
      </c>
      <c r="C43" s="13" t="s">
        <v>415</v>
      </c>
      <c r="D43" s="14">
        <v>722.0</v>
      </c>
      <c r="E43" s="14">
        <v>758.0</v>
      </c>
      <c r="F43" s="14">
        <f t="shared" si="3"/>
        <v>1480</v>
      </c>
      <c r="G43" s="19">
        <f t="shared" si="4"/>
        <v>8836</v>
      </c>
    </row>
    <row r="44">
      <c r="A44" s="12">
        <v>19.0</v>
      </c>
      <c r="B44" s="12" t="s">
        <v>165</v>
      </c>
      <c r="C44" s="13" t="s">
        <v>208</v>
      </c>
      <c r="D44" s="14">
        <v>2006.0</v>
      </c>
      <c r="E44" s="16"/>
      <c r="F44" s="14">
        <f t="shared" si="3"/>
        <v>2006</v>
      </c>
      <c r="G44" s="19">
        <f t="shared" si="4"/>
        <v>10842</v>
      </c>
    </row>
    <row r="45">
      <c r="A45" s="12">
        <v>20.0</v>
      </c>
      <c r="B45" s="12" t="s">
        <v>151</v>
      </c>
      <c r="C45" s="13" t="s">
        <v>191</v>
      </c>
      <c r="D45" s="14">
        <v>332.0</v>
      </c>
      <c r="E45" s="16"/>
      <c r="F45" s="14">
        <f t="shared" si="3"/>
        <v>332</v>
      </c>
      <c r="G45" s="19">
        <f t="shared" si="4"/>
        <v>11174</v>
      </c>
    </row>
    <row r="46">
      <c r="A46" s="12">
        <v>21.0</v>
      </c>
      <c r="B46" s="12" t="s">
        <v>157</v>
      </c>
      <c r="C46" s="13" t="s">
        <v>197</v>
      </c>
      <c r="D46" s="14">
        <v>350.0</v>
      </c>
      <c r="E46" s="16"/>
      <c r="F46" s="14">
        <f t="shared" si="3"/>
        <v>350</v>
      </c>
      <c r="G46" s="19">
        <f t="shared" si="4"/>
        <v>11524</v>
      </c>
    </row>
    <row r="47">
      <c r="A47" s="12">
        <v>22.0</v>
      </c>
      <c r="B47" s="12" t="s">
        <v>148</v>
      </c>
      <c r="C47" s="13" t="s">
        <v>189</v>
      </c>
      <c r="D47" s="14">
        <v>366.0</v>
      </c>
      <c r="E47" s="16"/>
      <c r="F47" s="14">
        <f t="shared" si="3"/>
        <v>366</v>
      </c>
      <c r="G47" s="19">
        <f t="shared" si="4"/>
        <v>11890</v>
      </c>
    </row>
    <row r="48">
      <c r="A48" s="12">
        <v>23.0</v>
      </c>
      <c r="B48" s="12" t="s">
        <v>99</v>
      </c>
      <c r="C48" s="13" t="s">
        <v>100</v>
      </c>
      <c r="D48" s="14">
        <v>385.0</v>
      </c>
      <c r="E48" s="16"/>
      <c r="F48" s="14">
        <f t="shared" si="3"/>
        <v>385</v>
      </c>
      <c r="G48" s="19">
        <f t="shared" si="4"/>
        <v>12275</v>
      </c>
    </row>
    <row r="49">
      <c r="A49" s="12">
        <v>24.0</v>
      </c>
      <c r="B49" s="12" t="s">
        <v>148</v>
      </c>
      <c r="C49" s="13" t="s">
        <v>189</v>
      </c>
      <c r="D49" s="14">
        <v>350.0</v>
      </c>
      <c r="E49" s="16"/>
      <c r="F49" s="14">
        <f t="shared" si="3"/>
        <v>350</v>
      </c>
      <c r="G49" s="19">
        <f t="shared" si="4"/>
        <v>12625</v>
      </c>
    </row>
    <row r="50">
      <c r="A50" s="12">
        <v>25.0</v>
      </c>
      <c r="B50" s="12" t="s">
        <v>148</v>
      </c>
      <c r="C50" s="13" t="s">
        <v>189</v>
      </c>
      <c r="D50" s="14">
        <v>366.0</v>
      </c>
      <c r="E50" s="16"/>
      <c r="F50" s="14">
        <f t="shared" si="3"/>
        <v>366</v>
      </c>
      <c r="G50" s="19">
        <f t="shared" si="4"/>
        <v>12991</v>
      </c>
    </row>
    <row r="51">
      <c r="A51" s="12">
        <v>26.0</v>
      </c>
      <c r="B51" s="12" t="s">
        <v>148</v>
      </c>
      <c r="C51" s="13" t="s">
        <v>189</v>
      </c>
      <c r="D51" s="14">
        <v>385.0</v>
      </c>
      <c r="E51" s="16"/>
      <c r="F51" s="14">
        <f t="shared" si="3"/>
        <v>385</v>
      </c>
      <c r="G51" s="19">
        <f t="shared" si="4"/>
        <v>13376</v>
      </c>
    </row>
    <row r="52">
      <c r="A52" s="12">
        <v>27.0</v>
      </c>
      <c r="B52" s="12" t="s">
        <v>148</v>
      </c>
      <c r="C52" s="13" t="s">
        <v>189</v>
      </c>
      <c r="D52" s="14">
        <v>404.0</v>
      </c>
      <c r="E52" s="16"/>
      <c r="F52" s="14">
        <f t="shared" si="3"/>
        <v>404</v>
      </c>
      <c r="G52" s="19">
        <f t="shared" si="4"/>
        <v>13780</v>
      </c>
    </row>
    <row r="53">
      <c r="A53" s="12">
        <v>28.0</v>
      </c>
      <c r="B53" s="12" t="s">
        <v>153</v>
      </c>
      <c r="C53" s="13" t="s">
        <v>415</v>
      </c>
      <c r="D53" s="14">
        <v>722.0</v>
      </c>
      <c r="E53" s="14">
        <v>758.0</v>
      </c>
      <c r="F53" s="14">
        <f t="shared" si="3"/>
        <v>1480</v>
      </c>
      <c r="G53" s="19">
        <f t="shared" si="4"/>
        <v>15260</v>
      </c>
    </row>
    <row r="54">
      <c r="A54" s="24"/>
      <c r="B54" s="24"/>
      <c r="C54" s="26"/>
      <c r="D54" s="27">
        <v>31.0</v>
      </c>
      <c r="E54" s="28"/>
      <c r="F54" s="27">
        <f>SUM(F26:F53)</f>
        <v>15260</v>
      </c>
      <c r="G54" s="29">
        <f>G53</f>
        <v>15260</v>
      </c>
    </row>
    <row r="55">
      <c r="C55" s="30"/>
      <c r="G55" s="30"/>
    </row>
    <row r="56">
      <c r="A56" s="4" t="s">
        <v>408</v>
      </c>
      <c r="B56" s="5"/>
      <c r="C56" s="5"/>
      <c r="D56" s="5"/>
      <c r="E56" s="5"/>
      <c r="F56" s="5"/>
      <c r="G56" s="6"/>
    </row>
    <row r="57">
      <c r="A57" s="7"/>
      <c r="B57" s="8"/>
      <c r="C57" s="8"/>
      <c r="D57" s="8"/>
      <c r="E57" s="8"/>
      <c r="F57" s="8"/>
      <c r="G57" s="9"/>
    </row>
    <row r="58">
      <c r="A58" s="10"/>
      <c r="B58" s="10" t="s">
        <v>6</v>
      </c>
      <c r="C58" s="11" t="s">
        <v>7</v>
      </c>
      <c r="D58" s="10" t="s">
        <v>8</v>
      </c>
      <c r="E58" s="10" t="s">
        <v>9</v>
      </c>
      <c r="F58" s="10" t="s">
        <v>10</v>
      </c>
      <c r="G58" s="11" t="s">
        <v>11</v>
      </c>
    </row>
    <row r="59">
      <c r="A59" s="12">
        <v>1.0</v>
      </c>
      <c r="B59" s="12" t="s">
        <v>106</v>
      </c>
      <c r="C59" s="13" t="s">
        <v>107</v>
      </c>
      <c r="D59" s="14">
        <v>633.0</v>
      </c>
      <c r="E59" s="16"/>
      <c r="F59" s="14">
        <f t="shared" ref="F59:F92" si="5">SUM(D59:E59)</f>
        <v>633</v>
      </c>
      <c r="G59" s="19">
        <f>F59</f>
        <v>633</v>
      </c>
    </row>
    <row r="60">
      <c r="A60" s="12">
        <v>2.0</v>
      </c>
      <c r="B60" s="12" t="s">
        <v>67</v>
      </c>
      <c r="C60" s="13" t="s">
        <v>222</v>
      </c>
      <c r="D60" s="14">
        <v>666.0</v>
      </c>
      <c r="E60" s="16"/>
      <c r="F60" s="14">
        <f t="shared" si="5"/>
        <v>666</v>
      </c>
      <c r="G60" s="19">
        <f t="shared" ref="G60:G92" si="6">G59+F60</f>
        <v>1299</v>
      </c>
    </row>
    <row r="61">
      <c r="A61" s="12">
        <v>3.0</v>
      </c>
      <c r="B61" s="12" t="s">
        <v>67</v>
      </c>
      <c r="C61" s="13" t="s">
        <v>222</v>
      </c>
      <c r="D61" s="14">
        <v>700.0</v>
      </c>
      <c r="E61" s="16"/>
      <c r="F61" s="14">
        <f t="shared" si="5"/>
        <v>700</v>
      </c>
      <c r="G61" s="19">
        <f t="shared" si="6"/>
        <v>1999</v>
      </c>
    </row>
    <row r="62">
      <c r="A62" s="12">
        <v>4.0</v>
      </c>
      <c r="B62" s="12" t="s">
        <v>173</v>
      </c>
      <c r="C62" s="13" t="s">
        <v>220</v>
      </c>
      <c r="D62" s="14">
        <v>735.0</v>
      </c>
      <c r="E62" s="16"/>
      <c r="F62" s="14">
        <f t="shared" si="5"/>
        <v>735</v>
      </c>
      <c r="G62" s="19">
        <f t="shared" si="6"/>
        <v>2734</v>
      </c>
    </row>
    <row r="63">
      <c r="A63" s="12">
        <v>5.0</v>
      </c>
      <c r="B63" s="12" t="s">
        <v>67</v>
      </c>
      <c r="C63" s="13" t="s">
        <v>222</v>
      </c>
      <c r="D63" s="14">
        <v>771.0</v>
      </c>
      <c r="E63" s="16"/>
      <c r="F63" s="14">
        <f t="shared" si="5"/>
        <v>771</v>
      </c>
      <c r="G63" s="19">
        <f t="shared" si="6"/>
        <v>3505</v>
      </c>
    </row>
    <row r="64">
      <c r="A64" s="12">
        <v>6.0</v>
      </c>
      <c r="B64" s="12" t="s">
        <v>173</v>
      </c>
      <c r="C64" s="13" t="s">
        <v>220</v>
      </c>
      <c r="D64" s="14">
        <v>810.0</v>
      </c>
      <c r="E64" s="16"/>
      <c r="F64" s="14">
        <f t="shared" si="5"/>
        <v>810</v>
      </c>
      <c r="G64" s="19">
        <f t="shared" si="6"/>
        <v>4315</v>
      </c>
    </row>
    <row r="65">
      <c r="A65" s="12">
        <v>7.0</v>
      </c>
      <c r="B65" s="12" t="s">
        <v>104</v>
      </c>
      <c r="C65" s="13" t="s">
        <v>105</v>
      </c>
      <c r="D65" s="14">
        <v>849.0</v>
      </c>
      <c r="E65" s="16"/>
      <c r="F65" s="14">
        <f t="shared" si="5"/>
        <v>849</v>
      </c>
      <c r="G65" s="19">
        <f t="shared" si="6"/>
        <v>5164</v>
      </c>
    </row>
    <row r="66">
      <c r="A66" s="12">
        <v>8.0</v>
      </c>
      <c r="B66" s="12" t="s">
        <v>173</v>
      </c>
      <c r="C66" s="13" t="s">
        <v>220</v>
      </c>
      <c r="D66" s="14">
        <v>892.0</v>
      </c>
      <c r="E66" s="16"/>
      <c r="F66" s="14">
        <f t="shared" si="5"/>
        <v>892</v>
      </c>
      <c r="G66" s="19">
        <f t="shared" si="6"/>
        <v>6056</v>
      </c>
    </row>
    <row r="67">
      <c r="A67" s="12">
        <v>9.0</v>
      </c>
      <c r="B67" s="12" t="s">
        <v>67</v>
      </c>
      <c r="C67" s="13" t="s">
        <v>222</v>
      </c>
      <c r="D67" s="14">
        <v>633.0</v>
      </c>
      <c r="E67" s="16"/>
      <c r="F67" s="14">
        <f t="shared" si="5"/>
        <v>633</v>
      </c>
      <c r="G67" s="19">
        <f t="shared" si="6"/>
        <v>6689</v>
      </c>
    </row>
    <row r="68">
      <c r="A68" s="12">
        <v>10.0</v>
      </c>
      <c r="B68" s="12" t="s">
        <v>67</v>
      </c>
      <c r="C68" s="13" t="s">
        <v>222</v>
      </c>
      <c r="D68" s="14">
        <v>666.0</v>
      </c>
      <c r="E68" s="16"/>
      <c r="F68" s="14">
        <f t="shared" si="5"/>
        <v>666</v>
      </c>
      <c r="G68" s="19">
        <f t="shared" si="6"/>
        <v>7355</v>
      </c>
    </row>
    <row r="69">
      <c r="A69" s="12">
        <v>11.0</v>
      </c>
      <c r="B69" s="12" t="s">
        <v>173</v>
      </c>
      <c r="C69" s="13" t="s">
        <v>220</v>
      </c>
      <c r="D69" s="14">
        <v>700.0</v>
      </c>
      <c r="E69" s="16"/>
      <c r="F69" s="14">
        <f t="shared" si="5"/>
        <v>700</v>
      </c>
      <c r="G69" s="19">
        <f t="shared" si="6"/>
        <v>8055</v>
      </c>
    </row>
    <row r="70">
      <c r="A70" s="12">
        <v>12.0</v>
      </c>
      <c r="B70" s="12" t="s">
        <v>170</v>
      </c>
      <c r="C70" s="13" t="s">
        <v>217</v>
      </c>
      <c r="D70" s="14">
        <v>633.0</v>
      </c>
      <c r="E70" s="16"/>
      <c r="F70" s="14">
        <f t="shared" si="5"/>
        <v>633</v>
      </c>
      <c r="G70" s="19">
        <f t="shared" si="6"/>
        <v>8688</v>
      </c>
    </row>
    <row r="71">
      <c r="A71" s="12">
        <v>13.0</v>
      </c>
      <c r="B71" s="12" t="s">
        <v>170</v>
      </c>
      <c r="C71" s="13" t="s">
        <v>217</v>
      </c>
      <c r="D71" s="14">
        <v>666.0</v>
      </c>
      <c r="E71" s="16"/>
      <c r="F71" s="14">
        <f t="shared" si="5"/>
        <v>666</v>
      </c>
      <c r="G71" s="19">
        <f t="shared" si="6"/>
        <v>9354</v>
      </c>
    </row>
    <row r="72">
      <c r="A72" s="12">
        <v>14.0</v>
      </c>
      <c r="B72" s="12" t="s">
        <v>170</v>
      </c>
      <c r="C72" s="13" t="s">
        <v>217</v>
      </c>
      <c r="D72" s="14">
        <v>700.0</v>
      </c>
      <c r="E72" s="16"/>
      <c r="F72" s="14">
        <f t="shared" si="5"/>
        <v>700</v>
      </c>
      <c r="G72" s="19">
        <f t="shared" si="6"/>
        <v>10054</v>
      </c>
    </row>
    <row r="73">
      <c r="A73" s="12">
        <v>15.0</v>
      </c>
      <c r="B73" s="12" t="s">
        <v>177</v>
      </c>
      <c r="C73" s="13" t="s">
        <v>223</v>
      </c>
      <c r="D73" s="14">
        <v>735.0</v>
      </c>
      <c r="E73" s="16"/>
      <c r="F73" s="14">
        <f t="shared" si="5"/>
        <v>735</v>
      </c>
      <c r="G73" s="19">
        <f t="shared" si="6"/>
        <v>10789</v>
      </c>
    </row>
    <row r="74">
      <c r="A74" s="12">
        <v>16.0</v>
      </c>
      <c r="B74" s="12" t="s">
        <v>170</v>
      </c>
      <c r="C74" s="13" t="s">
        <v>217</v>
      </c>
      <c r="D74" s="14">
        <v>771.0</v>
      </c>
      <c r="E74" s="16"/>
      <c r="F74" s="14">
        <f t="shared" si="5"/>
        <v>771</v>
      </c>
      <c r="G74" s="19">
        <f t="shared" si="6"/>
        <v>11560</v>
      </c>
    </row>
    <row r="75">
      <c r="A75" s="12">
        <v>17.0</v>
      </c>
      <c r="B75" s="12" t="s">
        <v>177</v>
      </c>
      <c r="C75" s="13" t="s">
        <v>223</v>
      </c>
      <c r="D75" s="14">
        <v>633.0</v>
      </c>
      <c r="E75" s="16"/>
      <c r="F75" s="14">
        <f t="shared" si="5"/>
        <v>633</v>
      </c>
      <c r="G75" s="19">
        <f t="shared" si="6"/>
        <v>12193</v>
      </c>
    </row>
    <row r="76">
      <c r="A76" s="12">
        <v>18.0</v>
      </c>
      <c r="B76" s="12" t="s">
        <v>170</v>
      </c>
      <c r="C76" s="13" t="s">
        <v>217</v>
      </c>
      <c r="D76" s="14">
        <v>666.0</v>
      </c>
      <c r="E76" s="16"/>
      <c r="F76" s="14">
        <f t="shared" si="5"/>
        <v>666</v>
      </c>
      <c r="G76" s="19">
        <f t="shared" si="6"/>
        <v>12859</v>
      </c>
    </row>
    <row r="77">
      <c r="A77" s="12">
        <v>19.0</v>
      </c>
      <c r="B77" s="12" t="s">
        <v>67</v>
      </c>
      <c r="C77" s="13" t="s">
        <v>222</v>
      </c>
      <c r="D77" s="14">
        <v>700.0</v>
      </c>
      <c r="E77" s="16"/>
      <c r="F77" s="14">
        <f t="shared" si="5"/>
        <v>700</v>
      </c>
      <c r="G77" s="19">
        <f t="shared" si="6"/>
        <v>13559</v>
      </c>
    </row>
    <row r="78">
      <c r="A78" s="12">
        <v>20.0</v>
      </c>
      <c r="B78" s="12" t="s">
        <v>67</v>
      </c>
      <c r="C78" s="13" t="s">
        <v>222</v>
      </c>
      <c r="D78" s="14">
        <v>735.0</v>
      </c>
      <c r="E78" s="16"/>
      <c r="F78" s="14">
        <f t="shared" si="5"/>
        <v>735</v>
      </c>
      <c r="G78" s="19">
        <f t="shared" si="6"/>
        <v>14294</v>
      </c>
    </row>
    <row r="79">
      <c r="A79" s="12">
        <v>21.0</v>
      </c>
      <c r="B79" s="12" t="s">
        <v>67</v>
      </c>
      <c r="C79" s="13" t="s">
        <v>222</v>
      </c>
      <c r="D79" s="14">
        <v>771.0</v>
      </c>
      <c r="E79" s="16"/>
      <c r="F79" s="14">
        <f t="shared" si="5"/>
        <v>771</v>
      </c>
      <c r="G79" s="19">
        <f t="shared" si="6"/>
        <v>15065</v>
      </c>
    </row>
    <row r="80">
      <c r="A80" s="12">
        <v>22.0</v>
      </c>
      <c r="B80" s="12" t="s">
        <v>180</v>
      </c>
      <c r="C80" s="13" t="s">
        <v>436</v>
      </c>
      <c r="D80" s="14">
        <v>1376.0</v>
      </c>
      <c r="E80" s="14">
        <v>1446.0</v>
      </c>
      <c r="F80" s="14">
        <f t="shared" si="5"/>
        <v>2822</v>
      </c>
      <c r="G80" s="19">
        <f t="shared" si="6"/>
        <v>17887</v>
      </c>
    </row>
    <row r="81">
      <c r="A81" s="12">
        <v>23.0</v>
      </c>
      <c r="B81" s="12" t="s">
        <v>106</v>
      </c>
      <c r="C81" s="13" t="s">
        <v>107</v>
      </c>
      <c r="D81" s="14">
        <v>633.0</v>
      </c>
      <c r="E81" s="16"/>
      <c r="F81" s="14">
        <f t="shared" si="5"/>
        <v>633</v>
      </c>
      <c r="G81" s="19">
        <f t="shared" si="6"/>
        <v>18520</v>
      </c>
    </row>
    <row r="82">
      <c r="A82" s="12">
        <v>24.0</v>
      </c>
      <c r="B82" s="12" t="s">
        <v>170</v>
      </c>
      <c r="C82" s="13" t="s">
        <v>217</v>
      </c>
      <c r="D82" s="14">
        <v>666.0</v>
      </c>
      <c r="E82" s="16"/>
      <c r="F82" s="14">
        <f t="shared" si="5"/>
        <v>666</v>
      </c>
      <c r="G82" s="19">
        <f t="shared" si="6"/>
        <v>19186</v>
      </c>
    </row>
    <row r="83">
      <c r="A83" s="12">
        <v>25.0</v>
      </c>
      <c r="B83" s="12" t="s">
        <v>67</v>
      </c>
      <c r="C83" s="13" t="s">
        <v>222</v>
      </c>
      <c r="D83" s="14">
        <v>633.0</v>
      </c>
      <c r="E83" s="16"/>
      <c r="F83" s="14">
        <f t="shared" si="5"/>
        <v>633</v>
      </c>
      <c r="G83" s="19">
        <f t="shared" si="6"/>
        <v>19819</v>
      </c>
    </row>
    <row r="84">
      <c r="A84" s="12">
        <v>26.0</v>
      </c>
      <c r="B84" s="12" t="s">
        <v>104</v>
      </c>
      <c r="C84" s="13" t="s">
        <v>105</v>
      </c>
      <c r="D84" s="14">
        <v>666.0</v>
      </c>
      <c r="E84" s="16"/>
      <c r="F84" s="14">
        <f t="shared" si="5"/>
        <v>666</v>
      </c>
      <c r="G84" s="19">
        <f t="shared" si="6"/>
        <v>20485</v>
      </c>
    </row>
    <row r="85">
      <c r="A85" s="12">
        <v>27.0</v>
      </c>
      <c r="B85" s="12" t="s">
        <v>170</v>
      </c>
      <c r="C85" s="13" t="s">
        <v>217</v>
      </c>
      <c r="D85" s="14">
        <v>700.0</v>
      </c>
      <c r="E85" s="16"/>
      <c r="F85" s="14">
        <f t="shared" si="5"/>
        <v>700</v>
      </c>
      <c r="G85" s="19">
        <f t="shared" si="6"/>
        <v>21185</v>
      </c>
    </row>
    <row r="86">
      <c r="A86" s="12">
        <v>28.0</v>
      </c>
      <c r="B86" s="12" t="s">
        <v>170</v>
      </c>
      <c r="C86" s="13" t="s">
        <v>217</v>
      </c>
      <c r="D86" s="14">
        <v>735.0</v>
      </c>
      <c r="E86" s="16"/>
      <c r="F86" s="14">
        <f t="shared" si="5"/>
        <v>735</v>
      </c>
      <c r="G86" s="19">
        <f t="shared" si="6"/>
        <v>21920</v>
      </c>
    </row>
    <row r="87">
      <c r="A87" s="12">
        <v>29.0</v>
      </c>
      <c r="B87" s="12" t="s">
        <v>177</v>
      </c>
      <c r="C87" s="13" t="s">
        <v>223</v>
      </c>
      <c r="D87" s="14">
        <v>771.0</v>
      </c>
      <c r="E87" s="16"/>
      <c r="F87" s="14">
        <f t="shared" si="5"/>
        <v>771</v>
      </c>
      <c r="G87" s="19">
        <f t="shared" si="6"/>
        <v>22691</v>
      </c>
    </row>
    <row r="88">
      <c r="A88" s="12">
        <v>30.0</v>
      </c>
      <c r="B88" s="12" t="s">
        <v>170</v>
      </c>
      <c r="C88" s="13" t="s">
        <v>217</v>
      </c>
      <c r="D88" s="14">
        <v>810.0</v>
      </c>
      <c r="E88" s="16"/>
      <c r="F88" s="14">
        <f t="shared" si="5"/>
        <v>810</v>
      </c>
      <c r="G88" s="19">
        <f t="shared" si="6"/>
        <v>23501</v>
      </c>
    </row>
    <row r="89">
      <c r="A89" s="12">
        <v>31.0</v>
      </c>
      <c r="B89" s="12" t="s">
        <v>104</v>
      </c>
      <c r="C89" s="13" t="s">
        <v>105</v>
      </c>
      <c r="D89" s="14">
        <v>849.0</v>
      </c>
      <c r="E89" s="16"/>
      <c r="F89" s="14">
        <f t="shared" si="5"/>
        <v>849</v>
      </c>
      <c r="G89" s="19">
        <f t="shared" si="6"/>
        <v>24350</v>
      </c>
    </row>
    <row r="90">
      <c r="A90" s="12">
        <v>32.0</v>
      </c>
      <c r="B90" s="12" t="s">
        <v>177</v>
      </c>
      <c r="C90" s="13" t="s">
        <v>223</v>
      </c>
      <c r="D90" s="14">
        <v>892.0</v>
      </c>
      <c r="E90" s="16"/>
      <c r="F90" s="14">
        <f t="shared" si="5"/>
        <v>892</v>
      </c>
      <c r="G90" s="19">
        <f t="shared" si="6"/>
        <v>25242</v>
      </c>
    </row>
    <row r="91">
      <c r="A91" s="12">
        <v>33.0</v>
      </c>
      <c r="B91" s="12" t="s">
        <v>106</v>
      </c>
      <c r="C91" s="13" t="s">
        <v>107</v>
      </c>
      <c r="D91" s="14">
        <v>700.0</v>
      </c>
      <c r="E91" s="16"/>
      <c r="F91" s="14">
        <f t="shared" si="5"/>
        <v>700</v>
      </c>
      <c r="G91" s="19">
        <f t="shared" si="6"/>
        <v>25942</v>
      </c>
    </row>
    <row r="92">
      <c r="A92" s="12">
        <v>34.0</v>
      </c>
      <c r="B92" s="12" t="s">
        <v>322</v>
      </c>
      <c r="C92" s="13" t="s">
        <v>353</v>
      </c>
      <c r="D92" s="14">
        <v>3305.0</v>
      </c>
      <c r="E92" s="16"/>
      <c r="F92" s="14">
        <f t="shared" si="5"/>
        <v>3305</v>
      </c>
      <c r="G92" s="19">
        <f t="shared" si="6"/>
        <v>29247</v>
      </c>
    </row>
    <row r="93">
      <c r="A93" s="24"/>
      <c r="B93" s="24"/>
      <c r="C93" s="26"/>
      <c r="D93" s="27">
        <v>35.0</v>
      </c>
      <c r="E93" s="28"/>
      <c r="F93" s="27">
        <f>SUM(F59:F92)</f>
        <v>29247</v>
      </c>
      <c r="G93" s="29">
        <f>G92</f>
        <v>29247</v>
      </c>
    </row>
    <row r="94">
      <c r="C94" s="30"/>
      <c r="G94" s="30"/>
    </row>
    <row r="95">
      <c r="A95" s="4" t="s">
        <v>413</v>
      </c>
      <c r="B95" s="5"/>
      <c r="C95" s="5"/>
      <c r="D95" s="5"/>
      <c r="E95" s="5"/>
      <c r="F95" s="5"/>
      <c r="G95" s="6"/>
    </row>
    <row r="96">
      <c r="A96" s="7"/>
      <c r="B96" s="8"/>
      <c r="C96" s="8"/>
      <c r="D96" s="8"/>
      <c r="E96" s="8"/>
      <c r="F96" s="8"/>
      <c r="G96" s="9"/>
    </row>
    <row r="97">
      <c r="A97" s="10"/>
      <c r="B97" s="10" t="s">
        <v>6</v>
      </c>
      <c r="C97" s="11" t="s">
        <v>7</v>
      </c>
      <c r="D97" s="10" t="s">
        <v>8</v>
      </c>
      <c r="E97" s="10" t="s">
        <v>9</v>
      </c>
      <c r="F97" s="10" t="s">
        <v>10</v>
      </c>
      <c r="G97" s="11" t="s">
        <v>11</v>
      </c>
    </row>
    <row r="98">
      <c r="A98" s="12">
        <v>1.0</v>
      </c>
      <c r="B98" s="12" t="s">
        <v>200</v>
      </c>
      <c r="C98" s="13" t="s">
        <v>368</v>
      </c>
      <c r="D98" s="14">
        <v>779.0</v>
      </c>
      <c r="E98" s="16"/>
      <c r="F98" s="14">
        <f t="shared" ref="F98:F131" si="7">SUM(D98:E98)</f>
        <v>779</v>
      </c>
      <c r="G98" s="19">
        <f>F98</f>
        <v>779</v>
      </c>
    </row>
    <row r="99">
      <c r="A99" s="12">
        <v>2.0</v>
      </c>
      <c r="B99" s="12" t="s">
        <v>202</v>
      </c>
      <c r="C99" s="13" t="s">
        <v>372</v>
      </c>
      <c r="D99" s="14">
        <v>818.0</v>
      </c>
      <c r="E99" s="16"/>
      <c r="F99" s="14">
        <f t="shared" si="7"/>
        <v>818</v>
      </c>
      <c r="G99" s="19">
        <f t="shared" ref="G99:G131" si="8">G98+F99</f>
        <v>1597</v>
      </c>
    </row>
    <row r="100">
      <c r="A100" s="12">
        <v>3.0</v>
      </c>
      <c r="B100" s="12" t="s">
        <v>202</v>
      </c>
      <c r="C100" s="13" t="s">
        <v>372</v>
      </c>
      <c r="D100" s="14">
        <v>860.0</v>
      </c>
      <c r="E100" s="16"/>
      <c r="F100" s="14">
        <f t="shared" si="7"/>
        <v>860</v>
      </c>
      <c r="G100" s="19">
        <f t="shared" si="8"/>
        <v>2457</v>
      </c>
    </row>
    <row r="101">
      <c r="A101" s="12">
        <v>4.0</v>
      </c>
      <c r="B101" s="12" t="s">
        <v>202</v>
      </c>
      <c r="C101" s="13" t="s">
        <v>372</v>
      </c>
      <c r="D101" s="14">
        <v>902.0</v>
      </c>
      <c r="E101" s="16"/>
      <c r="F101" s="14">
        <f t="shared" si="7"/>
        <v>902</v>
      </c>
      <c r="G101" s="19">
        <f t="shared" si="8"/>
        <v>3359</v>
      </c>
    </row>
    <row r="102">
      <c r="A102" s="12">
        <v>5.0</v>
      </c>
      <c r="B102" s="12" t="s">
        <v>200</v>
      </c>
      <c r="C102" s="13" t="s">
        <v>368</v>
      </c>
      <c r="D102" s="14">
        <v>818.0</v>
      </c>
      <c r="E102" s="16"/>
      <c r="F102" s="14">
        <f t="shared" si="7"/>
        <v>818</v>
      </c>
      <c r="G102" s="19">
        <f t="shared" si="8"/>
        <v>4177</v>
      </c>
    </row>
    <row r="103">
      <c r="A103" s="12">
        <v>6.0</v>
      </c>
      <c r="B103" s="12" t="s">
        <v>210</v>
      </c>
      <c r="C103" s="13" t="s">
        <v>373</v>
      </c>
      <c r="D103" s="14">
        <v>860.0</v>
      </c>
      <c r="E103" s="16"/>
      <c r="F103" s="14">
        <f t="shared" si="7"/>
        <v>860</v>
      </c>
      <c r="G103" s="19">
        <f t="shared" si="8"/>
        <v>5037</v>
      </c>
    </row>
    <row r="104">
      <c r="A104" s="12">
        <v>7.0</v>
      </c>
      <c r="B104" s="12" t="s">
        <v>210</v>
      </c>
      <c r="C104" s="13" t="s">
        <v>373</v>
      </c>
      <c r="D104" s="14">
        <v>902.0</v>
      </c>
      <c r="E104" s="16"/>
      <c r="F104" s="14">
        <f t="shared" si="7"/>
        <v>902</v>
      </c>
      <c r="G104" s="19">
        <f t="shared" si="8"/>
        <v>5939</v>
      </c>
    </row>
    <row r="105">
      <c r="A105" s="12">
        <v>8.0</v>
      </c>
      <c r="B105" s="12" t="s">
        <v>206</v>
      </c>
      <c r="C105" s="13" t="s">
        <v>375</v>
      </c>
      <c r="D105" s="14">
        <v>818.0</v>
      </c>
      <c r="E105" s="16"/>
      <c r="F105" s="14">
        <f t="shared" si="7"/>
        <v>818</v>
      </c>
      <c r="G105" s="19">
        <f t="shared" si="8"/>
        <v>6757</v>
      </c>
    </row>
    <row r="106">
      <c r="A106" s="12">
        <v>9.0</v>
      </c>
      <c r="B106" s="12" t="s">
        <v>206</v>
      </c>
      <c r="C106" s="13" t="s">
        <v>375</v>
      </c>
      <c r="D106" s="14">
        <v>860.0</v>
      </c>
      <c r="E106" s="16"/>
      <c r="F106" s="14">
        <f t="shared" si="7"/>
        <v>860</v>
      </c>
      <c r="G106" s="19">
        <f t="shared" si="8"/>
        <v>7617</v>
      </c>
    </row>
    <row r="107">
      <c r="A107" s="12">
        <v>10.0</v>
      </c>
      <c r="B107" s="12" t="s">
        <v>206</v>
      </c>
      <c r="C107" s="13" t="s">
        <v>375</v>
      </c>
      <c r="D107" s="14">
        <v>902.0</v>
      </c>
      <c r="E107" s="16"/>
      <c r="F107" s="14">
        <f t="shared" si="7"/>
        <v>902</v>
      </c>
      <c r="G107" s="19">
        <f t="shared" si="8"/>
        <v>8519</v>
      </c>
    </row>
    <row r="108">
      <c r="A108" s="12">
        <v>11.0</v>
      </c>
      <c r="B108" s="12" t="s">
        <v>212</v>
      </c>
      <c r="C108" s="13" t="s">
        <v>376</v>
      </c>
      <c r="D108" s="14">
        <v>1610.0</v>
      </c>
      <c r="E108" s="14">
        <v>1691.0</v>
      </c>
      <c r="F108" s="14">
        <f t="shared" si="7"/>
        <v>3301</v>
      </c>
      <c r="G108" s="19">
        <f t="shared" si="8"/>
        <v>11820</v>
      </c>
    </row>
    <row r="109">
      <c r="A109" s="12">
        <v>12.0</v>
      </c>
      <c r="B109" s="12" t="s">
        <v>214</v>
      </c>
      <c r="C109" s="13" t="s">
        <v>377</v>
      </c>
      <c r="D109" s="14">
        <v>779.0</v>
      </c>
      <c r="E109" s="16"/>
      <c r="F109" s="14">
        <f t="shared" si="7"/>
        <v>779</v>
      </c>
      <c r="G109" s="19">
        <f t="shared" si="8"/>
        <v>12599</v>
      </c>
    </row>
    <row r="110">
      <c r="A110" s="12">
        <v>13.0</v>
      </c>
      <c r="B110" s="12" t="s">
        <v>218</v>
      </c>
      <c r="C110" s="13" t="s">
        <v>378</v>
      </c>
      <c r="D110" s="14">
        <v>818.0</v>
      </c>
      <c r="E110" s="16"/>
      <c r="F110" s="14">
        <f t="shared" si="7"/>
        <v>818</v>
      </c>
      <c r="G110" s="19">
        <f t="shared" si="8"/>
        <v>13417</v>
      </c>
    </row>
    <row r="111">
      <c r="A111" s="12">
        <v>14.0</v>
      </c>
      <c r="B111" s="12" t="s">
        <v>218</v>
      </c>
      <c r="C111" s="13" t="s">
        <v>378</v>
      </c>
      <c r="D111" s="14">
        <v>860.0</v>
      </c>
      <c r="E111" s="16"/>
      <c r="F111" s="14">
        <f t="shared" si="7"/>
        <v>860</v>
      </c>
      <c r="G111" s="19">
        <f t="shared" si="8"/>
        <v>14277</v>
      </c>
    </row>
    <row r="112">
      <c r="A112" s="12">
        <v>15.0</v>
      </c>
      <c r="B112" s="12" t="s">
        <v>218</v>
      </c>
      <c r="C112" s="13" t="s">
        <v>378</v>
      </c>
      <c r="D112" s="14">
        <v>902.0</v>
      </c>
      <c r="E112" s="16"/>
      <c r="F112" s="14">
        <f t="shared" si="7"/>
        <v>902</v>
      </c>
      <c r="G112" s="19">
        <f t="shared" si="8"/>
        <v>15179</v>
      </c>
    </row>
    <row r="113">
      <c r="A113" s="12">
        <v>16.0</v>
      </c>
      <c r="B113" s="12" t="s">
        <v>214</v>
      </c>
      <c r="C113" s="13" t="s">
        <v>377</v>
      </c>
      <c r="D113" s="14">
        <v>818.0</v>
      </c>
      <c r="E113" s="16"/>
      <c r="F113" s="14">
        <f t="shared" si="7"/>
        <v>818</v>
      </c>
      <c r="G113" s="19">
        <f t="shared" si="8"/>
        <v>15997</v>
      </c>
    </row>
    <row r="114">
      <c r="A114" s="12">
        <v>17.0</v>
      </c>
      <c r="B114" s="12" t="s">
        <v>224</v>
      </c>
      <c r="C114" s="13" t="s">
        <v>379</v>
      </c>
      <c r="D114" s="14">
        <v>860.0</v>
      </c>
      <c r="E114" s="16"/>
      <c r="F114" s="14">
        <f t="shared" si="7"/>
        <v>860</v>
      </c>
      <c r="G114" s="19">
        <f t="shared" si="8"/>
        <v>16857</v>
      </c>
    </row>
    <row r="115">
      <c r="A115" s="12">
        <v>18.0</v>
      </c>
      <c r="B115" s="12" t="s">
        <v>224</v>
      </c>
      <c r="C115" s="13" t="s">
        <v>379</v>
      </c>
      <c r="D115" s="14">
        <v>902.0</v>
      </c>
      <c r="E115" s="16"/>
      <c r="F115" s="14">
        <f t="shared" si="7"/>
        <v>902</v>
      </c>
      <c r="G115" s="19">
        <f t="shared" si="8"/>
        <v>17759</v>
      </c>
    </row>
    <row r="116">
      <c r="A116" s="12">
        <v>19.0</v>
      </c>
      <c r="B116" s="12" t="s">
        <v>157</v>
      </c>
      <c r="C116" s="13" t="s">
        <v>381</v>
      </c>
      <c r="D116" s="14">
        <v>818.0</v>
      </c>
      <c r="E116" s="16"/>
      <c r="F116" s="14">
        <f t="shared" si="7"/>
        <v>818</v>
      </c>
      <c r="G116" s="19">
        <f t="shared" si="8"/>
        <v>18577</v>
      </c>
    </row>
    <row r="117">
      <c r="A117" s="12">
        <v>20.0</v>
      </c>
      <c r="B117" s="12" t="s">
        <v>157</v>
      </c>
      <c r="C117" s="13" t="s">
        <v>381</v>
      </c>
      <c r="D117" s="14">
        <v>860.0</v>
      </c>
      <c r="E117" s="16"/>
      <c r="F117" s="14">
        <f t="shared" si="7"/>
        <v>860</v>
      </c>
      <c r="G117" s="19">
        <f t="shared" si="8"/>
        <v>19437</v>
      </c>
    </row>
    <row r="118">
      <c r="A118" s="12">
        <v>21.0</v>
      </c>
      <c r="B118" s="12" t="s">
        <v>157</v>
      </c>
      <c r="C118" s="13" t="s">
        <v>381</v>
      </c>
      <c r="D118" s="14">
        <v>902.0</v>
      </c>
      <c r="E118" s="16"/>
      <c r="F118" s="14">
        <f t="shared" si="7"/>
        <v>902</v>
      </c>
      <c r="G118" s="19">
        <f t="shared" si="8"/>
        <v>20339</v>
      </c>
    </row>
    <row r="119">
      <c r="A119" s="12">
        <v>22.0</v>
      </c>
      <c r="B119" s="12" t="s">
        <v>230</v>
      </c>
      <c r="C119" s="13" t="s">
        <v>382</v>
      </c>
      <c r="D119" s="14">
        <v>1610.0</v>
      </c>
      <c r="E119" s="14">
        <v>1691.0</v>
      </c>
      <c r="F119" s="14">
        <f t="shared" si="7"/>
        <v>3301</v>
      </c>
      <c r="G119" s="19">
        <f t="shared" si="8"/>
        <v>23640</v>
      </c>
    </row>
    <row r="120">
      <c r="A120" s="12">
        <v>23.0</v>
      </c>
      <c r="B120" s="12" t="s">
        <v>226</v>
      </c>
      <c r="C120" s="13" t="s">
        <v>383</v>
      </c>
      <c r="D120" s="14">
        <v>779.0</v>
      </c>
      <c r="E120" s="16"/>
      <c r="F120" s="14">
        <f t="shared" si="7"/>
        <v>779</v>
      </c>
      <c r="G120" s="19">
        <f t="shared" si="8"/>
        <v>24419</v>
      </c>
    </row>
    <row r="121">
      <c r="A121" s="12">
        <v>24.0</v>
      </c>
      <c r="B121" s="12" t="s">
        <v>237</v>
      </c>
      <c r="C121" s="13" t="s">
        <v>384</v>
      </c>
      <c r="D121" s="14">
        <v>818.0</v>
      </c>
      <c r="E121" s="16"/>
      <c r="F121" s="14">
        <f t="shared" si="7"/>
        <v>818</v>
      </c>
      <c r="G121" s="19">
        <f t="shared" si="8"/>
        <v>25237</v>
      </c>
    </row>
    <row r="122">
      <c r="A122" s="12">
        <v>25.0</v>
      </c>
      <c r="B122" s="12" t="s">
        <v>237</v>
      </c>
      <c r="C122" s="13" t="s">
        <v>384</v>
      </c>
      <c r="D122" s="14">
        <v>860.0</v>
      </c>
      <c r="E122" s="16"/>
      <c r="F122" s="14">
        <f t="shared" si="7"/>
        <v>860</v>
      </c>
      <c r="G122" s="19">
        <f t="shared" si="8"/>
        <v>26097</v>
      </c>
    </row>
    <row r="123">
      <c r="A123" s="12">
        <v>26.0</v>
      </c>
      <c r="B123" s="12" t="s">
        <v>237</v>
      </c>
      <c r="C123" s="13" t="s">
        <v>384</v>
      </c>
      <c r="D123" s="14">
        <v>902.0</v>
      </c>
      <c r="E123" s="16"/>
      <c r="F123" s="14">
        <f t="shared" si="7"/>
        <v>902</v>
      </c>
      <c r="G123" s="19">
        <f t="shared" si="8"/>
        <v>26999</v>
      </c>
    </row>
    <row r="124">
      <c r="A124" s="12">
        <v>27.0</v>
      </c>
      <c r="B124" s="12" t="s">
        <v>226</v>
      </c>
      <c r="C124" s="13" t="s">
        <v>383</v>
      </c>
      <c r="D124" s="14">
        <v>818.0</v>
      </c>
      <c r="E124" s="16"/>
      <c r="F124" s="14">
        <f t="shared" si="7"/>
        <v>818</v>
      </c>
      <c r="G124" s="19">
        <f t="shared" si="8"/>
        <v>27817</v>
      </c>
    </row>
    <row r="125">
      <c r="A125" s="12">
        <v>28.0</v>
      </c>
      <c r="B125" s="12" t="s">
        <v>242</v>
      </c>
      <c r="C125" s="13" t="s">
        <v>386</v>
      </c>
      <c r="D125" s="14">
        <v>860.0</v>
      </c>
      <c r="E125" s="16"/>
      <c r="F125" s="14">
        <f t="shared" si="7"/>
        <v>860</v>
      </c>
      <c r="G125" s="19">
        <f t="shared" si="8"/>
        <v>28677</v>
      </c>
    </row>
    <row r="126">
      <c r="A126" s="12">
        <v>29.0</v>
      </c>
      <c r="B126" s="12" t="s">
        <v>242</v>
      </c>
      <c r="C126" s="13" t="s">
        <v>386</v>
      </c>
      <c r="D126" s="14">
        <v>902.0</v>
      </c>
      <c r="E126" s="16"/>
      <c r="F126" s="14">
        <f t="shared" si="7"/>
        <v>902</v>
      </c>
      <c r="G126" s="19">
        <f t="shared" si="8"/>
        <v>29579</v>
      </c>
    </row>
    <row r="127">
      <c r="A127" s="12">
        <v>30.0</v>
      </c>
      <c r="B127" s="12" t="s">
        <v>234</v>
      </c>
      <c r="C127" s="13" t="s">
        <v>387</v>
      </c>
      <c r="D127" s="14">
        <v>818.0</v>
      </c>
      <c r="E127" s="16"/>
      <c r="F127" s="14">
        <f t="shared" si="7"/>
        <v>818</v>
      </c>
      <c r="G127" s="19">
        <f t="shared" si="8"/>
        <v>30397</v>
      </c>
    </row>
    <row r="128">
      <c r="A128" s="12">
        <v>31.0</v>
      </c>
      <c r="B128" s="12" t="s">
        <v>234</v>
      </c>
      <c r="C128" s="13" t="s">
        <v>387</v>
      </c>
      <c r="D128" s="14">
        <v>860.0</v>
      </c>
      <c r="E128" s="16"/>
      <c r="F128" s="14">
        <f t="shared" si="7"/>
        <v>860</v>
      </c>
      <c r="G128" s="19">
        <f t="shared" si="8"/>
        <v>31257</v>
      </c>
    </row>
    <row r="129">
      <c r="A129" s="12">
        <v>32.0</v>
      </c>
      <c r="B129" s="12" t="s">
        <v>234</v>
      </c>
      <c r="C129" s="13" t="s">
        <v>387</v>
      </c>
      <c r="D129" s="14">
        <v>902.0</v>
      </c>
      <c r="E129" s="16"/>
      <c r="F129" s="14">
        <f t="shared" si="7"/>
        <v>902</v>
      </c>
      <c r="G129" s="19">
        <f t="shared" si="8"/>
        <v>32159</v>
      </c>
    </row>
    <row r="130">
      <c r="A130" s="12">
        <v>33.0</v>
      </c>
      <c r="B130" s="12" t="s">
        <v>244</v>
      </c>
      <c r="C130" s="13" t="s">
        <v>389</v>
      </c>
      <c r="D130" s="14">
        <v>1610.0</v>
      </c>
      <c r="E130" s="14">
        <v>1691.0</v>
      </c>
      <c r="F130" s="14">
        <f t="shared" si="7"/>
        <v>3301</v>
      </c>
      <c r="G130" s="19">
        <f t="shared" si="8"/>
        <v>35460</v>
      </c>
    </row>
    <row r="131">
      <c r="A131" s="12">
        <v>34.0</v>
      </c>
      <c r="B131" s="12" t="s">
        <v>390</v>
      </c>
      <c r="C131" s="23" t="s">
        <v>481</v>
      </c>
      <c r="D131" s="14">
        <v>4477.0</v>
      </c>
      <c r="E131" s="16"/>
      <c r="F131" s="14">
        <f t="shared" si="7"/>
        <v>4477</v>
      </c>
      <c r="G131" s="19">
        <f t="shared" si="8"/>
        <v>39937</v>
      </c>
    </row>
    <row r="132">
      <c r="A132" s="24"/>
      <c r="B132" s="24"/>
      <c r="C132" s="26"/>
      <c r="D132" s="27">
        <v>37.0</v>
      </c>
      <c r="E132" s="28"/>
      <c r="F132" s="27">
        <f>SUM(F98:F131)</f>
        <v>39937</v>
      </c>
      <c r="G132" s="29">
        <f>G131</f>
        <v>39937</v>
      </c>
    </row>
  </sheetData>
  <mergeCells count="4">
    <mergeCell ref="A1:G2"/>
    <mergeCell ref="A23:G24"/>
    <mergeCell ref="A56:G57"/>
    <mergeCell ref="A95:G96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7.86"/>
    <col customWidth="1" min="3" max="3" width="59.86"/>
    <col customWidth="1" min="4" max="5" width="7.14"/>
    <col customWidth="1" min="6" max="6" width="7.0"/>
    <col customWidth="1" min="7" max="7" width="8.57"/>
  </cols>
  <sheetData>
    <row r="1">
      <c r="A1" s="4" t="s">
        <v>216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12</v>
      </c>
      <c r="C4" s="13" t="s">
        <v>416</v>
      </c>
      <c r="D4" s="14">
        <v>811.0</v>
      </c>
      <c r="E4" s="16"/>
      <c r="F4" s="14">
        <f t="shared" ref="F4:F14" si="1">SUM(D4:E4)</f>
        <v>811</v>
      </c>
      <c r="G4" s="19">
        <f>F4</f>
        <v>811</v>
      </c>
    </row>
    <row r="5">
      <c r="A5" s="12">
        <v>2.0</v>
      </c>
      <c r="B5" s="12" t="s">
        <v>22</v>
      </c>
      <c r="C5" s="13" t="s">
        <v>24</v>
      </c>
      <c r="D5" s="14">
        <v>852.0</v>
      </c>
      <c r="E5" s="16"/>
      <c r="F5" s="14">
        <f t="shared" si="1"/>
        <v>852</v>
      </c>
      <c r="G5" s="19">
        <f t="shared" ref="G5:G14" si="2">G4+F5</f>
        <v>1663</v>
      </c>
    </row>
    <row r="6">
      <c r="A6" s="12">
        <v>3.0</v>
      </c>
      <c r="B6" s="12" t="s">
        <v>12</v>
      </c>
      <c r="C6" s="13" t="s">
        <v>417</v>
      </c>
      <c r="D6" s="14">
        <v>894.0</v>
      </c>
      <c r="E6" s="16"/>
      <c r="F6" s="14">
        <f t="shared" si="1"/>
        <v>894</v>
      </c>
      <c r="G6" s="19">
        <f t="shared" si="2"/>
        <v>2557</v>
      </c>
    </row>
    <row r="7">
      <c r="A7" s="12">
        <v>4.0</v>
      </c>
      <c r="B7" s="12" t="s">
        <v>25</v>
      </c>
      <c r="C7" s="13" t="s">
        <v>418</v>
      </c>
      <c r="D7" s="14">
        <v>939.0</v>
      </c>
      <c r="E7" s="16"/>
      <c r="F7" s="14">
        <f t="shared" si="1"/>
        <v>939</v>
      </c>
      <c r="G7" s="19">
        <f t="shared" si="2"/>
        <v>3496</v>
      </c>
    </row>
    <row r="8">
      <c r="A8" s="12">
        <v>5.0</v>
      </c>
      <c r="B8" s="12" t="s">
        <v>419</v>
      </c>
      <c r="C8" s="13" t="s">
        <v>420</v>
      </c>
      <c r="D8" s="14">
        <v>1686.0</v>
      </c>
      <c r="E8" s="14">
        <v>1770.0</v>
      </c>
      <c r="F8" s="14">
        <f t="shared" si="1"/>
        <v>3456</v>
      </c>
      <c r="G8" s="19">
        <f t="shared" si="2"/>
        <v>6952</v>
      </c>
    </row>
    <row r="9">
      <c r="A9" s="12">
        <v>6.0</v>
      </c>
      <c r="B9" s="12" t="s">
        <v>25</v>
      </c>
      <c r="C9" s="13" t="s">
        <v>421</v>
      </c>
      <c r="D9" s="14">
        <v>1035.0</v>
      </c>
      <c r="E9" s="16"/>
      <c r="F9" s="14">
        <f t="shared" si="1"/>
        <v>1035</v>
      </c>
      <c r="G9" s="19">
        <f t="shared" si="2"/>
        <v>7987</v>
      </c>
    </row>
    <row r="10">
      <c r="A10" s="12">
        <v>7.0</v>
      </c>
      <c r="B10" s="12" t="s">
        <v>12</v>
      </c>
      <c r="C10" s="13" t="s">
        <v>417</v>
      </c>
      <c r="D10" s="14">
        <v>1087.0</v>
      </c>
      <c r="E10" s="16"/>
      <c r="F10" s="14">
        <f t="shared" si="1"/>
        <v>1087</v>
      </c>
      <c r="G10" s="19">
        <f t="shared" si="2"/>
        <v>9074</v>
      </c>
    </row>
    <row r="11">
      <c r="A11" s="12">
        <v>8.0</v>
      </c>
      <c r="B11" s="12" t="s">
        <v>22</v>
      </c>
      <c r="C11" s="13" t="s">
        <v>24</v>
      </c>
      <c r="D11" s="14">
        <v>1141.0</v>
      </c>
      <c r="E11" s="16"/>
      <c r="F11" s="14">
        <f t="shared" si="1"/>
        <v>1141</v>
      </c>
      <c r="G11" s="19">
        <f t="shared" si="2"/>
        <v>10215</v>
      </c>
    </row>
    <row r="12">
      <c r="A12" s="12">
        <v>9.0</v>
      </c>
      <c r="B12" s="12" t="s">
        <v>25</v>
      </c>
      <c r="C12" s="13" t="s">
        <v>421</v>
      </c>
      <c r="D12" s="14">
        <v>1198.0</v>
      </c>
      <c r="E12" s="16"/>
      <c r="F12" s="14">
        <f t="shared" si="1"/>
        <v>1198</v>
      </c>
      <c r="G12" s="19">
        <f t="shared" si="2"/>
        <v>11413</v>
      </c>
    </row>
    <row r="13">
      <c r="A13" s="12">
        <v>10.0</v>
      </c>
      <c r="B13" s="12" t="s">
        <v>22</v>
      </c>
      <c r="C13" s="13" t="s">
        <v>350</v>
      </c>
      <c r="D13" s="14">
        <v>1258.0</v>
      </c>
      <c r="E13" s="16"/>
      <c r="F13" s="14">
        <f t="shared" si="1"/>
        <v>1258</v>
      </c>
      <c r="G13" s="19">
        <f t="shared" si="2"/>
        <v>12671</v>
      </c>
    </row>
    <row r="14">
      <c r="A14" s="12">
        <v>11.0</v>
      </c>
      <c r="B14" s="12" t="s">
        <v>422</v>
      </c>
      <c r="C14" s="13" t="s">
        <v>423</v>
      </c>
      <c r="D14" s="14">
        <v>3775.0</v>
      </c>
      <c r="E14" s="16"/>
      <c r="F14" s="14">
        <f t="shared" si="1"/>
        <v>3775</v>
      </c>
      <c r="G14" s="19">
        <f t="shared" si="2"/>
        <v>16446</v>
      </c>
    </row>
    <row r="15">
      <c r="A15" s="24"/>
      <c r="B15" s="24"/>
      <c r="C15" s="26"/>
      <c r="D15" s="27">
        <v>12.0</v>
      </c>
      <c r="E15" s="28"/>
      <c r="F15" s="27">
        <f>SUM(F4:F14)</f>
        <v>16446</v>
      </c>
      <c r="G15" s="29">
        <f>G14</f>
        <v>16446</v>
      </c>
    </row>
    <row r="16">
      <c r="C16" s="30"/>
      <c r="G16" s="30"/>
    </row>
    <row r="17">
      <c r="A17" s="4" t="s">
        <v>426</v>
      </c>
      <c r="B17" s="5"/>
      <c r="C17" s="5"/>
      <c r="D17" s="5"/>
      <c r="E17" s="5"/>
      <c r="F17" s="5"/>
      <c r="G17" s="6"/>
    </row>
    <row r="18">
      <c r="A18" s="7"/>
      <c r="B18" s="8"/>
      <c r="C18" s="8"/>
      <c r="D18" s="8"/>
      <c r="E18" s="8"/>
      <c r="F18" s="8"/>
      <c r="G18" s="9"/>
    </row>
    <row r="19">
      <c r="A19" s="10"/>
      <c r="B19" s="10" t="s">
        <v>6</v>
      </c>
      <c r="C19" s="11" t="s">
        <v>7</v>
      </c>
      <c r="D19" s="10" t="s">
        <v>8</v>
      </c>
      <c r="E19" s="10" t="s">
        <v>9</v>
      </c>
      <c r="F19" s="10" t="s">
        <v>10</v>
      </c>
      <c r="G19" s="11" t="s">
        <v>11</v>
      </c>
    </row>
    <row r="20">
      <c r="A20" s="12">
        <v>1.0</v>
      </c>
      <c r="B20" s="12" t="s">
        <v>40</v>
      </c>
      <c r="C20" s="13" t="s">
        <v>427</v>
      </c>
      <c r="D20" s="14">
        <v>1591.0</v>
      </c>
      <c r="E20" s="16"/>
      <c r="F20" s="14">
        <f t="shared" ref="F20:F33" si="3">SUM(D20:E20)</f>
        <v>1591</v>
      </c>
      <c r="G20" s="19">
        <f>F20</f>
        <v>1591</v>
      </c>
    </row>
    <row r="21">
      <c r="A21" s="12">
        <v>2.0</v>
      </c>
      <c r="B21" s="12" t="s">
        <v>43</v>
      </c>
      <c r="C21" s="13" t="s">
        <v>432</v>
      </c>
      <c r="D21" s="14">
        <v>1591.0</v>
      </c>
      <c r="E21" s="16"/>
      <c r="F21" s="14">
        <f t="shared" si="3"/>
        <v>1591</v>
      </c>
      <c r="G21" s="19">
        <f t="shared" ref="G21:G33" si="4">G20+F21</f>
        <v>3182</v>
      </c>
    </row>
    <row r="22">
      <c r="A22" s="12">
        <v>3.0</v>
      </c>
      <c r="B22" s="12" t="s">
        <v>45</v>
      </c>
      <c r="C22" s="13" t="s">
        <v>433</v>
      </c>
      <c r="D22" s="14">
        <v>2856.0</v>
      </c>
      <c r="E22" s="14">
        <v>2999.0</v>
      </c>
      <c r="F22" s="14">
        <f t="shared" si="3"/>
        <v>5855</v>
      </c>
      <c r="G22" s="19">
        <f t="shared" si="4"/>
        <v>9037</v>
      </c>
    </row>
    <row r="23">
      <c r="A23" s="12">
        <v>4.0</v>
      </c>
      <c r="B23" s="12" t="s">
        <v>40</v>
      </c>
      <c r="C23" s="13" t="s">
        <v>427</v>
      </c>
      <c r="D23" s="14">
        <v>1754.0</v>
      </c>
      <c r="E23" s="16"/>
      <c r="F23" s="14">
        <f t="shared" si="3"/>
        <v>1754</v>
      </c>
      <c r="G23" s="19">
        <f t="shared" si="4"/>
        <v>10791</v>
      </c>
    </row>
    <row r="24">
      <c r="A24" s="12">
        <v>5.0</v>
      </c>
      <c r="B24" s="12" t="s">
        <v>40</v>
      </c>
      <c r="C24" s="13" t="s">
        <v>427</v>
      </c>
      <c r="D24" s="14">
        <v>1841.0</v>
      </c>
      <c r="E24" s="16"/>
      <c r="F24" s="14">
        <f t="shared" si="3"/>
        <v>1841</v>
      </c>
      <c r="G24" s="19">
        <f t="shared" si="4"/>
        <v>12632</v>
      </c>
    </row>
    <row r="25">
      <c r="A25" s="12">
        <v>6.0</v>
      </c>
      <c r="B25" s="12" t="s">
        <v>47</v>
      </c>
      <c r="C25" s="13" t="s">
        <v>435</v>
      </c>
      <c r="D25" s="14">
        <v>1933.0</v>
      </c>
      <c r="E25" s="16"/>
      <c r="F25" s="14">
        <f t="shared" si="3"/>
        <v>1933</v>
      </c>
      <c r="G25" s="19">
        <f t="shared" si="4"/>
        <v>14565</v>
      </c>
    </row>
    <row r="26">
      <c r="A26" s="12">
        <v>7.0</v>
      </c>
      <c r="B26" s="12" t="s">
        <v>51</v>
      </c>
      <c r="C26" s="13" t="s">
        <v>437</v>
      </c>
      <c r="D26" s="14">
        <v>2030.0</v>
      </c>
      <c r="E26" s="16"/>
      <c r="F26" s="14">
        <f t="shared" si="3"/>
        <v>2030</v>
      </c>
      <c r="G26" s="19">
        <f t="shared" si="4"/>
        <v>16595</v>
      </c>
    </row>
    <row r="27">
      <c r="A27" s="12">
        <v>8.0</v>
      </c>
      <c r="B27" s="12" t="s">
        <v>40</v>
      </c>
      <c r="C27" s="13" t="s">
        <v>427</v>
      </c>
      <c r="D27" s="14">
        <v>2132.0</v>
      </c>
      <c r="E27" s="16"/>
      <c r="F27" s="14">
        <f t="shared" si="3"/>
        <v>2132</v>
      </c>
      <c r="G27" s="19">
        <f t="shared" si="4"/>
        <v>18727</v>
      </c>
    </row>
    <row r="28">
      <c r="A28" s="12">
        <v>9.0</v>
      </c>
      <c r="B28" s="12" t="s">
        <v>43</v>
      </c>
      <c r="C28" s="13" t="s">
        <v>432</v>
      </c>
      <c r="D28" s="14">
        <v>1754.0</v>
      </c>
      <c r="E28" s="16"/>
      <c r="F28" s="14">
        <f t="shared" si="3"/>
        <v>1754</v>
      </c>
      <c r="G28" s="19">
        <f t="shared" si="4"/>
        <v>20481</v>
      </c>
    </row>
    <row r="29">
      <c r="A29" s="12">
        <v>10.0</v>
      </c>
      <c r="B29" s="12" t="s">
        <v>43</v>
      </c>
      <c r="C29" s="13" t="s">
        <v>432</v>
      </c>
      <c r="D29" s="14">
        <v>1841.0</v>
      </c>
      <c r="E29" s="16"/>
      <c r="F29" s="14">
        <f t="shared" si="3"/>
        <v>1841</v>
      </c>
      <c r="G29" s="19">
        <f t="shared" si="4"/>
        <v>22322</v>
      </c>
    </row>
    <row r="30">
      <c r="A30" s="12">
        <v>11.0</v>
      </c>
      <c r="B30" s="12" t="s">
        <v>51</v>
      </c>
      <c r="C30" s="13" t="s">
        <v>440</v>
      </c>
      <c r="D30" s="14">
        <v>1933.0</v>
      </c>
      <c r="E30" s="16"/>
      <c r="F30" s="14">
        <f t="shared" si="3"/>
        <v>1933</v>
      </c>
      <c r="G30" s="19">
        <f t="shared" si="4"/>
        <v>24255</v>
      </c>
    </row>
    <row r="31">
      <c r="A31" s="12">
        <v>12.0</v>
      </c>
      <c r="B31" s="12" t="s">
        <v>47</v>
      </c>
      <c r="C31" s="13" t="s">
        <v>442</v>
      </c>
      <c r="D31" s="14">
        <v>2030.0</v>
      </c>
      <c r="E31" s="16"/>
      <c r="F31" s="14">
        <f t="shared" si="3"/>
        <v>2030</v>
      </c>
      <c r="G31" s="19">
        <f t="shared" si="4"/>
        <v>26285</v>
      </c>
    </row>
    <row r="32">
      <c r="A32" s="12">
        <v>13.0</v>
      </c>
      <c r="B32" s="12" t="s">
        <v>43</v>
      </c>
      <c r="C32" s="13" t="s">
        <v>432</v>
      </c>
      <c r="D32" s="14">
        <v>2132.0</v>
      </c>
      <c r="E32" s="16"/>
      <c r="F32" s="14">
        <f t="shared" si="3"/>
        <v>2132</v>
      </c>
      <c r="G32" s="19">
        <f t="shared" si="4"/>
        <v>28417</v>
      </c>
    </row>
    <row r="33">
      <c r="A33" s="12">
        <v>14.0</v>
      </c>
      <c r="B33" s="12" t="s">
        <v>443</v>
      </c>
      <c r="C33" s="13" t="s">
        <v>445</v>
      </c>
      <c r="D33" s="14">
        <v>4476.0</v>
      </c>
      <c r="E33" s="16"/>
      <c r="F33" s="14">
        <f t="shared" si="3"/>
        <v>4476</v>
      </c>
      <c r="G33" s="19">
        <f t="shared" si="4"/>
        <v>32893</v>
      </c>
    </row>
    <row r="34">
      <c r="A34" s="24"/>
      <c r="B34" s="24"/>
      <c r="C34" s="26"/>
      <c r="D34" s="27">
        <v>15.0</v>
      </c>
      <c r="E34" s="28"/>
      <c r="F34" s="27">
        <f>SUM(F20:F33)</f>
        <v>32893</v>
      </c>
      <c r="G34" s="29">
        <f>G33</f>
        <v>32893</v>
      </c>
    </row>
    <row r="35">
      <c r="C35" s="30"/>
      <c r="G35" s="30"/>
    </row>
    <row r="36">
      <c r="A36" s="4" t="s">
        <v>448</v>
      </c>
      <c r="B36" s="5"/>
      <c r="C36" s="5"/>
      <c r="D36" s="5"/>
      <c r="E36" s="5"/>
      <c r="F36" s="5"/>
      <c r="G36" s="6"/>
    </row>
    <row r="37">
      <c r="A37" s="7"/>
      <c r="B37" s="8"/>
      <c r="C37" s="8"/>
      <c r="D37" s="8"/>
      <c r="E37" s="8"/>
      <c r="F37" s="8"/>
      <c r="G37" s="9"/>
    </row>
    <row r="38">
      <c r="A38" s="10"/>
      <c r="B38" s="10" t="s">
        <v>6</v>
      </c>
      <c r="C38" s="11" t="s">
        <v>7</v>
      </c>
      <c r="D38" s="10" t="s">
        <v>8</v>
      </c>
      <c r="E38" s="10" t="s">
        <v>9</v>
      </c>
      <c r="F38" s="10" t="s">
        <v>10</v>
      </c>
      <c r="G38" s="11" t="s">
        <v>11</v>
      </c>
    </row>
    <row r="39">
      <c r="A39" s="12">
        <v>1.0</v>
      </c>
      <c r="B39" s="12" t="s">
        <v>60</v>
      </c>
      <c r="C39" s="13" t="s">
        <v>451</v>
      </c>
      <c r="D39" s="14">
        <v>1886.0</v>
      </c>
      <c r="E39" s="16"/>
      <c r="F39" s="14">
        <f t="shared" ref="F39:F55" si="5">SUM(D39:E39)</f>
        <v>1886</v>
      </c>
      <c r="G39" s="19">
        <f>F39</f>
        <v>1886</v>
      </c>
    </row>
    <row r="40">
      <c r="A40" s="12">
        <v>2.0</v>
      </c>
      <c r="B40" s="12" t="s">
        <v>60</v>
      </c>
      <c r="C40" s="13" t="s">
        <v>452</v>
      </c>
      <c r="D40" s="14">
        <v>1980.0</v>
      </c>
      <c r="E40" s="16"/>
      <c r="F40" s="14">
        <f t="shared" si="5"/>
        <v>1980</v>
      </c>
      <c r="G40" s="19">
        <f t="shared" ref="G40:G55" si="6">G39+F40</f>
        <v>3866</v>
      </c>
    </row>
    <row r="41">
      <c r="A41" s="12">
        <v>3.0</v>
      </c>
      <c r="B41" s="12" t="s">
        <v>60</v>
      </c>
      <c r="C41" s="13" t="s">
        <v>452</v>
      </c>
      <c r="D41" s="14">
        <v>2079.0</v>
      </c>
      <c r="E41" s="16"/>
      <c r="F41" s="14">
        <f t="shared" si="5"/>
        <v>2079</v>
      </c>
      <c r="G41" s="19">
        <f t="shared" si="6"/>
        <v>5945</v>
      </c>
    </row>
    <row r="42">
      <c r="A42" s="12">
        <v>4.0</v>
      </c>
      <c r="B42" s="12" t="s">
        <v>64</v>
      </c>
      <c r="C42" s="13" t="s">
        <v>454</v>
      </c>
      <c r="D42" s="14">
        <v>2183.0</v>
      </c>
      <c r="E42" s="16"/>
      <c r="F42" s="14">
        <f t="shared" si="5"/>
        <v>2183</v>
      </c>
      <c r="G42" s="19">
        <f t="shared" si="6"/>
        <v>8128</v>
      </c>
    </row>
    <row r="43">
      <c r="A43" s="12">
        <v>5.0</v>
      </c>
      <c r="B43" s="12" t="s">
        <v>67</v>
      </c>
      <c r="C43" s="13" t="s">
        <v>456</v>
      </c>
      <c r="D43" s="14">
        <v>1886.0</v>
      </c>
      <c r="E43" s="16"/>
      <c r="F43" s="14">
        <f t="shared" si="5"/>
        <v>1886</v>
      </c>
      <c r="G43" s="19">
        <f t="shared" si="6"/>
        <v>10014</v>
      </c>
    </row>
    <row r="44">
      <c r="A44" s="12">
        <v>6.0</v>
      </c>
      <c r="B44" s="12" t="s">
        <v>67</v>
      </c>
      <c r="C44" s="13" t="s">
        <v>458</v>
      </c>
      <c r="D44" s="14">
        <v>1980.0</v>
      </c>
      <c r="E44" s="16"/>
      <c r="F44" s="14">
        <f t="shared" si="5"/>
        <v>1980</v>
      </c>
      <c r="G44" s="19">
        <f t="shared" si="6"/>
        <v>11994</v>
      </c>
    </row>
    <row r="45">
      <c r="A45" s="12">
        <v>7.0</v>
      </c>
      <c r="B45" s="12" t="s">
        <v>67</v>
      </c>
      <c r="C45" s="13" t="s">
        <v>458</v>
      </c>
      <c r="D45" s="14">
        <v>2079.0</v>
      </c>
      <c r="E45" s="16"/>
      <c r="F45" s="14">
        <f t="shared" si="5"/>
        <v>2079</v>
      </c>
      <c r="G45" s="19">
        <f t="shared" si="6"/>
        <v>14073</v>
      </c>
    </row>
    <row r="46">
      <c r="A46" s="12">
        <v>8.0</v>
      </c>
      <c r="B46" s="12" t="s">
        <v>70</v>
      </c>
      <c r="C46" s="13" t="s">
        <v>461</v>
      </c>
      <c r="D46" s="14">
        <v>3734.0</v>
      </c>
      <c r="E46" s="14">
        <v>3921.0</v>
      </c>
      <c r="F46" s="14">
        <f t="shared" si="5"/>
        <v>7655</v>
      </c>
      <c r="G46" s="19">
        <f t="shared" si="6"/>
        <v>21728</v>
      </c>
    </row>
    <row r="47">
      <c r="A47" s="12">
        <v>9.0</v>
      </c>
      <c r="B47" s="12" t="s">
        <v>72</v>
      </c>
      <c r="C47" s="13" t="s">
        <v>463</v>
      </c>
      <c r="D47" s="14">
        <v>1886.0</v>
      </c>
      <c r="E47" s="16"/>
      <c r="F47" s="14">
        <f t="shared" si="5"/>
        <v>1886</v>
      </c>
      <c r="G47" s="19">
        <f t="shared" si="6"/>
        <v>23614</v>
      </c>
    </row>
    <row r="48">
      <c r="A48" s="12">
        <v>10.0</v>
      </c>
      <c r="B48" s="12" t="s">
        <v>72</v>
      </c>
      <c r="C48" s="13" t="s">
        <v>466</v>
      </c>
      <c r="D48" s="14">
        <v>1980.0</v>
      </c>
      <c r="E48" s="16"/>
      <c r="F48" s="14">
        <f t="shared" si="5"/>
        <v>1980</v>
      </c>
      <c r="G48" s="19">
        <f t="shared" si="6"/>
        <v>25594</v>
      </c>
    </row>
    <row r="49">
      <c r="A49" s="12">
        <v>11.0</v>
      </c>
      <c r="B49" s="12" t="s">
        <v>72</v>
      </c>
      <c r="C49" s="13" t="s">
        <v>466</v>
      </c>
      <c r="D49" s="14">
        <v>2079.0</v>
      </c>
      <c r="E49" s="16"/>
      <c r="F49" s="14">
        <f t="shared" si="5"/>
        <v>2079</v>
      </c>
      <c r="G49" s="19">
        <f t="shared" si="6"/>
        <v>27673</v>
      </c>
    </row>
    <row r="50">
      <c r="A50" s="12">
        <v>12.0</v>
      </c>
      <c r="B50" s="12" t="s">
        <v>75</v>
      </c>
      <c r="C50" s="13" t="s">
        <v>470</v>
      </c>
      <c r="D50" s="14">
        <v>2183.0</v>
      </c>
      <c r="E50" s="16"/>
      <c r="F50" s="14">
        <f t="shared" si="5"/>
        <v>2183</v>
      </c>
      <c r="G50" s="19">
        <f t="shared" si="6"/>
        <v>29856</v>
      </c>
    </row>
    <row r="51">
      <c r="A51" s="12">
        <v>13.0</v>
      </c>
      <c r="B51" s="12" t="s">
        <v>468</v>
      </c>
      <c r="C51" s="13" t="s">
        <v>473</v>
      </c>
      <c r="D51" s="14">
        <v>5881.0</v>
      </c>
      <c r="E51" s="16"/>
      <c r="F51" s="14">
        <f t="shared" si="5"/>
        <v>5881</v>
      </c>
      <c r="G51" s="19">
        <f t="shared" si="6"/>
        <v>35737</v>
      </c>
    </row>
    <row r="52">
      <c r="A52" s="12">
        <v>14.0</v>
      </c>
      <c r="B52" s="12" t="s">
        <v>79</v>
      </c>
      <c r="C52" s="13" t="s">
        <v>474</v>
      </c>
      <c r="D52" s="14">
        <v>1886.0</v>
      </c>
      <c r="E52" s="16"/>
      <c r="F52" s="14">
        <f t="shared" si="5"/>
        <v>1886</v>
      </c>
      <c r="G52" s="19">
        <f t="shared" si="6"/>
        <v>37623</v>
      </c>
    </row>
    <row r="53">
      <c r="A53" s="12">
        <v>15.0</v>
      </c>
      <c r="B53" s="12" t="s">
        <v>79</v>
      </c>
      <c r="C53" s="13" t="s">
        <v>98</v>
      </c>
      <c r="D53" s="14">
        <v>1980.0</v>
      </c>
      <c r="E53" s="16"/>
      <c r="F53" s="14">
        <f t="shared" si="5"/>
        <v>1980</v>
      </c>
      <c r="G53" s="19">
        <f t="shared" si="6"/>
        <v>39603</v>
      </c>
    </row>
    <row r="54">
      <c r="A54" s="12">
        <v>16.0</v>
      </c>
      <c r="B54" s="12" t="s">
        <v>79</v>
      </c>
      <c r="C54" s="13" t="s">
        <v>98</v>
      </c>
      <c r="D54" s="14">
        <v>2079.0</v>
      </c>
      <c r="E54" s="16"/>
      <c r="F54" s="14">
        <f t="shared" si="5"/>
        <v>2079</v>
      </c>
      <c r="G54" s="19">
        <f t="shared" si="6"/>
        <v>41682</v>
      </c>
    </row>
    <row r="55">
      <c r="A55" s="12">
        <v>17.0</v>
      </c>
      <c r="B55" s="12" t="s">
        <v>83</v>
      </c>
      <c r="C55" s="13" t="s">
        <v>477</v>
      </c>
      <c r="D55" s="14">
        <v>3734.0</v>
      </c>
      <c r="E55" s="14">
        <v>3921.0</v>
      </c>
      <c r="F55" s="14">
        <f t="shared" si="5"/>
        <v>7655</v>
      </c>
      <c r="G55" s="19">
        <f t="shared" si="6"/>
        <v>49337</v>
      </c>
    </row>
    <row r="56">
      <c r="A56" s="24"/>
      <c r="B56" s="24"/>
      <c r="C56" s="26"/>
      <c r="D56" s="27">
        <v>19.0</v>
      </c>
      <c r="E56" s="28"/>
      <c r="F56" s="27">
        <f>SUM(F39:F55)</f>
        <v>49337</v>
      </c>
      <c r="G56" s="29">
        <f>G55</f>
        <v>49337</v>
      </c>
    </row>
    <row r="57">
      <c r="C57" s="30"/>
      <c r="G57" s="30"/>
    </row>
    <row r="58">
      <c r="A58" s="4" t="s">
        <v>476</v>
      </c>
      <c r="B58" s="5"/>
      <c r="C58" s="5"/>
      <c r="D58" s="5"/>
      <c r="E58" s="5"/>
      <c r="F58" s="5"/>
      <c r="G58" s="6"/>
    </row>
    <row r="59">
      <c r="A59" s="7"/>
      <c r="B59" s="8"/>
      <c r="C59" s="8"/>
      <c r="D59" s="8"/>
      <c r="E59" s="8"/>
      <c r="F59" s="8"/>
      <c r="G59" s="9"/>
    </row>
    <row r="60">
      <c r="A60" s="10"/>
      <c r="B60" s="10" t="s">
        <v>6</v>
      </c>
      <c r="C60" s="11" t="s">
        <v>7</v>
      </c>
      <c r="D60" s="10" t="s">
        <v>8</v>
      </c>
      <c r="E60" s="10" t="s">
        <v>9</v>
      </c>
      <c r="F60" s="10" t="s">
        <v>10</v>
      </c>
      <c r="G60" s="11" t="s">
        <v>11</v>
      </c>
    </row>
    <row r="61">
      <c r="A61" s="12">
        <v>1.0</v>
      </c>
      <c r="B61" s="12" t="s">
        <v>93</v>
      </c>
      <c r="C61" s="13" t="s">
        <v>486</v>
      </c>
      <c r="D61" s="14">
        <v>1914.0</v>
      </c>
      <c r="E61" s="16"/>
      <c r="F61" s="14">
        <f t="shared" ref="F61:F84" si="7">SUM(D61:E61)</f>
        <v>1914</v>
      </c>
      <c r="G61" s="19">
        <f>F61</f>
        <v>1914</v>
      </c>
    </row>
    <row r="62">
      <c r="A62" s="12">
        <v>2.0</v>
      </c>
      <c r="B62" s="12" t="s">
        <v>93</v>
      </c>
      <c r="C62" s="13" t="s">
        <v>486</v>
      </c>
      <c r="D62" s="14">
        <v>2010.0</v>
      </c>
      <c r="E62" s="16"/>
      <c r="F62" s="14">
        <f t="shared" si="7"/>
        <v>2010</v>
      </c>
      <c r="G62" s="19">
        <f t="shared" ref="G62:G84" si="8">G61+F62</f>
        <v>3924</v>
      </c>
    </row>
    <row r="63">
      <c r="A63" s="12">
        <v>3.0</v>
      </c>
      <c r="B63" s="12" t="s">
        <v>93</v>
      </c>
      <c r="C63" s="13" t="s">
        <v>493</v>
      </c>
      <c r="D63" s="14">
        <v>2110.0</v>
      </c>
      <c r="E63" s="16"/>
      <c r="F63" s="14">
        <f t="shared" si="7"/>
        <v>2110</v>
      </c>
      <c r="G63" s="19">
        <f t="shared" si="8"/>
        <v>6034</v>
      </c>
    </row>
    <row r="64">
      <c r="A64" s="12">
        <v>4.0</v>
      </c>
      <c r="B64" s="12" t="s">
        <v>64</v>
      </c>
      <c r="C64" s="13" t="s">
        <v>496</v>
      </c>
      <c r="D64" s="14">
        <v>2216.0</v>
      </c>
      <c r="E64" s="16"/>
      <c r="F64" s="14">
        <f t="shared" si="7"/>
        <v>2216</v>
      </c>
      <c r="G64" s="19">
        <f t="shared" si="8"/>
        <v>8250</v>
      </c>
    </row>
    <row r="65">
      <c r="A65" s="12">
        <v>5.0</v>
      </c>
      <c r="B65" s="12" t="s">
        <v>99</v>
      </c>
      <c r="C65" s="13" t="s">
        <v>498</v>
      </c>
      <c r="D65" s="14">
        <v>2327.0</v>
      </c>
      <c r="E65" s="16"/>
      <c r="F65" s="14">
        <f t="shared" si="7"/>
        <v>2327</v>
      </c>
      <c r="G65" s="19">
        <f t="shared" si="8"/>
        <v>10577</v>
      </c>
    </row>
    <row r="66">
      <c r="A66" s="12">
        <v>6.0</v>
      </c>
      <c r="B66" s="12" t="s">
        <v>99</v>
      </c>
      <c r="C66" s="13" t="s">
        <v>500</v>
      </c>
      <c r="D66" s="14">
        <v>2443.0</v>
      </c>
      <c r="E66" s="16"/>
      <c r="F66" s="14">
        <f t="shared" si="7"/>
        <v>2443</v>
      </c>
      <c r="G66" s="19">
        <f t="shared" si="8"/>
        <v>13020</v>
      </c>
    </row>
    <row r="67">
      <c r="A67" s="12">
        <v>7.0</v>
      </c>
      <c r="B67" s="12" t="s">
        <v>47</v>
      </c>
      <c r="C67" s="13" t="s">
        <v>435</v>
      </c>
      <c r="D67" s="14">
        <v>2565.0</v>
      </c>
      <c r="E67" s="16"/>
      <c r="F67" s="14">
        <f t="shared" si="7"/>
        <v>2565</v>
      </c>
      <c r="G67" s="19">
        <f t="shared" si="8"/>
        <v>15585</v>
      </c>
    </row>
    <row r="68">
      <c r="A68" s="12">
        <v>8.0</v>
      </c>
      <c r="B68" s="12" t="s">
        <v>47</v>
      </c>
      <c r="C68" s="13" t="s">
        <v>435</v>
      </c>
      <c r="D68" s="14">
        <v>2694.0</v>
      </c>
      <c r="E68" s="16"/>
      <c r="F68" s="14">
        <f t="shared" si="7"/>
        <v>2694</v>
      </c>
      <c r="G68" s="19">
        <f t="shared" si="8"/>
        <v>18279</v>
      </c>
    </row>
    <row r="69">
      <c r="A69" s="12">
        <v>9.0</v>
      </c>
      <c r="B69" s="12" t="s">
        <v>47</v>
      </c>
      <c r="C69" s="13" t="s">
        <v>442</v>
      </c>
      <c r="D69" s="14">
        <v>2828.0</v>
      </c>
      <c r="E69" s="16"/>
      <c r="F69" s="14">
        <f t="shared" si="7"/>
        <v>2828</v>
      </c>
      <c r="G69" s="19">
        <f t="shared" si="8"/>
        <v>21107</v>
      </c>
    </row>
    <row r="70">
      <c r="A70" s="12">
        <v>10.0</v>
      </c>
      <c r="B70" s="12" t="s">
        <v>99</v>
      </c>
      <c r="C70" s="13" t="s">
        <v>498</v>
      </c>
      <c r="D70" s="14">
        <v>2443.0</v>
      </c>
      <c r="E70" s="16"/>
      <c r="F70" s="14">
        <f t="shared" si="7"/>
        <v>2443</v>
      </c>
      <c r="G70" s="19">
        <f t="shared" si="8"/>
        <v>23550</v>
      </c>
    </row>
    <row r="71">
      <c r="A71" s="12">
        <v>11.0</v>
      </c>
      <c r="B71" s="12" t="s">
        <v>104</v>
      </c>
      <c r="C71" s="13" t="s">
        <v>506</v>
      </c>
      <c r="D71" s="14">
        <v>1914.0</v>
      </c>
      <c r="E71" s="16"/>
      <c r="F71" s="14">
        <f t="shared" si="7"/>
        <v>1914</v>
      </c>
      <c r="G71" s="19">
        <f t="shared" si="8"/>
        <v>25464</v>
      </c>
    </row>
    <row r="72">
      <c r="A72" s="12">
        <v>12.0</v>
      </c>
      <c r="B72" s="12" t="s">
        <v>104</v>
      </c>
      <c r="C72" s="13" t="s">
        <v>506</v>
      </c>
      <c r="D72" s="14">
        <v>2010.0</v>
      </c>
      <c r="E72" s="16"/>
      <c r="F72" s="14">
        <f t="shared" si="7"/>
        <v>2010</v>
      </c>
      <c r="G72" s="19">
        <f t="shared" si="8"/>
        <v>27474</v>
      </c>
    </row>
    <row r="73">
      <c r="A73" s="12">
        <v>13.0</v>
      </c>
      <c r="B73" s="12" t="s">
        <v>104</v>
      </c>
      <c r="C73" s="13" t="s">
        <v>510</v>
      </c>
      <c r="D73" s="14">
        <v>2110.0</v>
      </c>
      <c r="E73" s="16"/>
      <c r="F73" s="14">
        <f t="shared" si="7"/>
        <v>2110</v>
      </c>
      <c r="G73" s="19">
        <f t="shared" si="8"/>
        <v>29584</v>
      </c>
    </row>
    <row r="74">
      <c r="A74" s="12">
        <v>14.0</v>
      </c>
      <c r="B74" s="12" t="s">
        <v>75</v>
      </c>
      <c r="C74" s="13" t="s">
        <v>511</v>
      </c>
      <c r="D74" s="14">
        <v>2216.0</v>
      </c>
      <c r="E74" s="16"/>
      <c r="F74" s="14">
        <f t="shared" si="7"/>
        <v>2216</v>
      </c>
      <c r="G74" s="19">
        <f t="shared" si="8"/>
        <v>31800</v>
      </c>
    </row>
    <row r="75">
      <c r="A75" s="12">
        <v>15.0</v>
      </c>
      <c r="B75" s="12" t="s">
        <v>106</v>
      </c>
      <c r="C75" s="13" t="s">
        <v>513</v>
      </c>
      <c r="D75" s="14">
        <v>2327.0</v>
      </c>
      <c r="E75" s="16"/>
      <c r="F75" s="14">
        <f t="shared" si="7"/>
        <v>2327</v>
      </c>
      <c r="G75" s="19">
        <f t="shared" si="8"/>
        <v>34127</v>
      </c>
    </row>
    <row r="76">
      <c r="A76" s="12">
        <v>16.0</v>
      </c>
      <c r="B76" s="12" t="s">
        <v>106</v>
      </c>
      <c r="C76" s="13" t="s">
        <v>513</v>
      </c>
      <c r="D76" s="14">
        <v>2443.0</v>
      </c>
      <c r="E76" s="16"/>
      <c r="F76" s="14">
        <f t="shared" si="7"/>
        <v>2443</v>
      </c>
      <c r="G76" s="19">
        <f t="shared" si="8"/>
        <v>36570</v>
      </c>
    </row>
    <row r="77">
      <c r="A77" s="12">
        <v>17.0</v>
      </c>
      <c r="B77" s="12" t="s">
        <v>75</v>
      </c>
      <c r="C77" s="13" t="s">
        <v>511</v>
      </c>
      <c r="D77" s="14">
        <v>2565.0</v>
      </c>
      <c r="E77" s="16"/>
      <c r="F77" s="14">
        <f t="shared" si="7"/>
        <v>2565</v>
      </c>
      <c r="G77" s="19">
        <f t="shared" si="8"/>
        <v>39135</v>
      </c>
    </row>
    <row r="78">
      <c r="A78" s="12">
        <v>18.0</v>
      </c>
      <c r="B78" s="12" t="s">
        <v>497</v>
      </c>
      <c r="C78" s="13" t="s">
        <v>519</v>
      </c>
      <c r="D78" s="14">
        <v>5656.0</v>
      </c>
      <c r="E78" s="16"/>
      <c r="F78" s="14">
        <f t="shared" si="7"/>
        <v>5656</v>
      </c>
      <c r="G78" s="19">
        <f t="shared" si="8"/>
        <v>44791</v>
      </c>
    </row>
    <row r="79">
      <c r="A79" s="12">
        <v>19.0</v>
      </c>
      <c r="B79" s="12" t="s">
        <v>64</v>
      </c>
      <c r="C79" s="13" t="s">
        <v>496</v>
      </c>
      <c r="D79" s="14">
        <v>2694.0</v>
      </c>
      <c r="E79" s="16"/>
      <c r="F79" s="14">
        <f t="shared" si="7"/>
        <v>2694</v>
      </c>
      <c r="G79" s="19">
        <f t="shared" si="8"/>
        <v>47485</v>
      </c>
    </row>
    <row r="80">
      <c r="A80" s="12">
        <v>20.0</v>
      </c>
      <c r="B80" s="12" t="s">
        <v>106</v>
      </c>
      <c r="C80" s="13" t="s">
        <v>521</v>
      </c>
      <c r="D80" s="14">
        <v>2443.0</v>
      </c>
      <c r="E80" s="16"/>
      <c r="F80" s="14">
        <f t="shared" si="7"/>
        <v>2443</v>
      </c>
      <c r="G80" s="19">
        <f t="shared" si="8"/>
        <v>49928</v>
      </c>
    </row>
    <row r="81">
      <c r="A81" s="12">
        <v>21.0</v>
      </c>
      <c r="B81" s="12" t="s">
        <v>51</v>
      </c>
      <c r="C81" s="13" t="s">
        <v>437</v>
      </c>
      <c r="D81" s="14">
        <v>2565.0</v>
      </c>
      <c r="E81" s="16"/>
      <c r="F81" s="14">
        <f t="shared" si="7"/>
        <v>2565</v>
      </c>
      <c r="G81" s="19">
        <f t="shared" si="8"/>
        <v>52493</v>
      </c>
    </row>
    <row r="82">
      <c r="A82" s="12">
        <v>22.0</v>
      </c>
      <c r="B82" s="12" t="s">
        <v>51</v>
      </c>
      <c r="C82" s="13" t="s">
        <v>437</v>
      </c>
      <c r="D82" s="14">
        <v>2694.0</v>
      </c>
      <c r="E82" s="16"/>
      <c r="F82" s="14">
        <f t="shared" si="7"/>
        <v>2694</v>
      </c>
      <c r="G82" s="19">
        <f t="shared" si="8"/>
        <v>55187</v>
      </c>
    </row>
    <row r="83">
      <c r="A83" s="12">
        <v>23.0</v>
      </c>
      <c r="B83" s="12" t="s">
        <v>51</v>
      </c>
      <c r="C83" s="13" t="s">
        <v>440</v>
      </c>
      <c r="D83" s="14">
        <v>2828.0</v>
      </c>
      <c r="E83" s="16"/>
      <c r="F83" s="14">
        <f t="shared" si="7"/>
        <v>2828</v>
      </c>
      <c r="G83" s="19">
        <f t="shared" si="8"/>
        <v>58015</v>
      </c>
    </row>
    <row r="84">
      <c r="A84" s="12">
        <v>24.0</v>
      </c>
      <c r="B84" s="12" t="s">
        <v>22</v>
      </c>
      <c r="C84" s="13" t="s">
        <v>528</v>
      </c>
      <c r="D84" s="14">
        <v>3790.0</v>
      </c>
      <c r="E84" s="14">
        <v>3980.0</v>
      </c>
      <c r="F84" s="14">
        <f t="shared" si="7"/>
        <v>7770</v>
      </c>
      <c r="G84" s="19">
        <f t="shared" si="8"/>
        <v>65785</v>
      </c>
    </row>
    <row r="85">
      <c r="A85" s="24"/>
      <c r="B85" s="24"/>
      <c r="C85" s="26"/>
      <c r="D85" s="27">
        <v>25.0</v>
      </c>
      <c r="E85" s="28"/>
      <c r="F85" s="27">
        <f>SUM(F61:F84)</f>
        <v>65785</v>
      </c>
      <c r="G85" s="29">
        <f>G84</f>
        <v>65785</v>
      </c>
    </row>
  </sheetData>
  <mergeCells count="4">
    <mergeCell ref="A1:G2"/>
    <mergeCell ref="A17:G18"/>
    <mergeCell ref="A36:G37"/>
    <mergeCell ref="A58:G59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7.86"/>
    <col customWidth="1" min="3" max="3" width="60.29"/>
    <col customWidth="1" min="4" max="5" width="7.14"/>
    <col customWidth="1" min="6" max="6" width="7.0"/>
    <col customWidth="1" min="7" max="7" width="10.57"/>
  </cols>
  <sheetData>
    <row r="1">
      <c r="A1" s="4" t="s">
        <v>228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12</v>
      </c>
      <c r="C4" s="13" t="s">
        <v>425</v>
      </c>
      <c r="D4" s="14">
        <v>811.0</v>
      </c>
      <c r="E4" s="16"/>
      <c r="F4" s="14">
        <f t="shared" ref="F4:F14" si="1">SUM(D4:E4)</f>
        <v>811</v>
      </c>
      <c r="G4" s="19">
        <f>F4</f>
        <v>811</v>
      </c>
    </row>
    <row r="5">
      <c r="A5" s="12">
        <v>2.0</v>
      </c>
      <c r="B5" s="12" t="s">
        <v>22</v>
      </c>
      <c r="C5" s="13" t="s">
        <v>27</v>
      </c>
      <c r="D5" s="14">
        <v>852.0</v>
      </c>
      <c r="E5" s="16"/>
      <c r="F5" s="14">
        <f t="shared" si="1"/>
        <v>852</v>
      </c>
      <c r="G5" s="19">
        <f t="shared" ref="G5:G14" si="2">G4+F5</f>
        <v>1663</v>
      </c>
    </row>
    <row r="6">
      <c r="A6" s="12">
        <v>3.0</v>
      </c>
      <c r="B6" s="12" t="s">
        <v>12</v>
      </c>
      <c r="C6" s="13" t="s">
        <v>428</v>
      </c>
      <c r="D6" s="14">
        <v>894.0</v>
      </c>
      <c r="E6" s="16"/>
      <c r="F6" s="14">
        <f t="shared" si="1"/>
        <v>894</v>
      </c>
      <c r="G6" s="19">
        <f t="shared" si="2"/>
        <v>2557</v>
      </c>
    </row>
    <row r="7">
      <c r="A7" s="12">
        <v>4.0</v>
      </c>
      <c r="B7" s="12" t="s">
        <v>25</v>
      </c>
      <c r="C7" s="13" t="s">
        <v>429</v>
      </c>
      <c r="D7" s="14">
        <v>939.0</v>
      </c>
      <c r="E7" s="16"/>
      <c r="F7" s="14">
        <f t="shared" si="1"/>
        <v>939</v>
      </c>
      <c r="G7" s="19">
        <f t="shared" si="2"/>
        <v>3496</v>
      </c>
    </row>
    <row r="8">
      <c r="A8" s="12">
        <v>5.0</v>
      </c>
      <c r="B8" s="12" t="s">
        <v>419</v>
      </c>
      <c r="C8" s="13" t="s">
        <v>430</v>
      </c>
      <c r="D8" s="14">
        <v>1686.0</v>
      </c>
      <c r="E8" s="14">
        <v>1770.0</v>
      </c>
      <c r="F8" s="14">
        <f t="shared" si="1"/>
        <v>3456</v>
      </c>
      <c r="G8" s="19">
        <f t="shared" si="2"/>
        <v>6952</v>
      </c>
    </row>
    <row r="9">
      <c r="A9" s="12">
        <v>6.0</v>
      </c>
      <c r="B9" s="12" t="s">
        <v>25</v>
      </c>
      <c r="C9" s="13" t="s">
        <v>431</v>
      </c>
      <c r="D9" s="14">
        <v>1035.0</v>
      </c>
      <c r="E9" s="16"/>
      <c r="F9" s="14">
        <f t="shared" si="1"/>
        <v>1035</v>
      </c>
      <c r="G9" s="19">
        <f t="shared" si="2"/>
        <v>7987</v>
      </c>
    </row>
    <row r="10">
      <c r="A10" s="12">
        <v>7.0</v>
      </c>
      <c r="B10" s="12" t="s">
        <v>12</v>
      </c>
      <c r="C10" s="13" t="s">
        <v>428</v>
      </c>
      <c r="D10" s="14">
        <v>1087.0</v>
      </c>
      <c r="E10" s="16"/>
      <c r="F10" s="14">
        <f t="shared" si="1"/>
        <v>1087</v>
      </c>
      <c r="G10" s="19">
        <f t="shared" si="2"/>
        <v>9074</v>
      </c>
    </row>
    <row r="11">
      <c r="A11" s="12">
        <v>8.0</v>
      </c>
      <c r="B11" s="12" t="s">
        <v>22</v>
      </c>
      <c r="C11" s="13" t="s">
        <v>27</v>
      </c>
      <c r="D11" s="14">
        <v>1141.0</v>
      </c>
      <c r="E11" s="16"/>
      <c r="F11" s="14">
        <f t="shared" si="1"/>
        <v>1141</v>
      </c>
      <c r="G11" s="19">
        <f t="shared" si="2"/>
        <v>10215</v>
      </c>
    </row>
    <row r="12">
      <c r="A12" s="12">
        <v>9.0</v>
      </c>
      <c r="B12" s="12" t="s">
        <v>25</v>
      </c>
      <c r="C12" s="13" t="s">
        <v>431</v>
      </c>
      <c r="D12" s="14">
        <v>1198.0</v>
      </c>
      <c r="E12" s="16"/>
      <c r="F12" s="14">
        <f t="shared" si="1"/>
        <v>1198</v>
      </c>
      <c r="G12" s="19">
        <f t="shared" si="2"/>
        <v>11413</v>
      </c>
    </row>
    <row r="13">
      <c r="A13" s="12">
        <v>10.0</v>
      </c>
      <c r="B13" s="12" t="s">
        <v>22</v>
      </c>
      <c r="C13" s="13" t="s">
        <v>363</v>
      </c>
      <c r="D13" s="14">
        <v>1258.0</v>
      </c>
      <c r="E13" s="16"/>
      <c r="F13" s="14">
        <f t="shared" si="1"/>
        <v>1258</v>
      </c>
      <c r="G13" s="19">
        <f t="shared" si="2"/>
        <v>12671</v>
      </c>
    </row>
    <row r="14">
      <c r="A14" s="12">
        <v>11.0</v>
      </c>
      <c r="B14" s="12" t="s">
        <v>422</v>
      </c>
      <c r="C14" s="13" t="s">
        <v>434</v>
      </c>
      <c r="D14" s="14">
        <v>3775.0</v>
      </c>
      <c r="E14" s="16"/>
      <c r="F14" s="14">
        <f t="shared" si="1"/>
        <v>3775</v>
      </c>
      <c r="G14" s="19">
        <f t="shared" si="2"/>
        <v>16446</v>
      </c>
    </row>
    <row r="15">
      <c r="A15" s="24"/>
      <c r="B15" s="24"/>
      <c r="C15" s="26"/>
      <c r="D15" s="27">
        <v>12.0</v>
      </c>
      <c r="E15" s="28"/>
      <c r="F15" s="27">
        <f>SUM(F4:F14)</f>
        <v>16446</v>
      </c>
      <c r="G15" s="29">
        <f>G14</f>
        <v>16446</v>
      </c>
    </row>
    <row r="16">
      <c r="C16" s="30"/>
      <c r="G16" s="30"/>
    </row>
    <row r="17">
      <c r="A17" s="4" t="s">
        <v>426</v>
      </c>
      <c r="B17" s="5"/>
      <c r="C17" s="5"/>
      <c r="D17" s="5"/>
      <c r="E17" s="5"/>
      <c r="F17" s="5"/>
      <c r="G17" s="6"/>
    </row>
    <row r="18">
      <c r="A18" s="7"/>
      <c r="B18" s="8"/>
      <c r="C18" s="8"/>
      <c r="D18" s="8"/>
      <c r="E18" s="8"/>
      <c r="F18" s="8"/>
      <c r="G18" s="9"/>
    </row>
    <row r="19">
      <c r="A19" s="10"/>
      <c r="B19" s="10" t="s">
        <v>6</v>
      </c>
      <c r="C19" s="11" t="s">
        <v>7</v>
      </c>
      <c r="D19" s="10" t="s">
        <v>8</v>
      </c>
      <c r="E19" s="10" t="s">
        <v>9</v>
      </c>
      <c r="F19" s="10" t="s">
        <v>10</v>
      </c>
      <c r="G19" s="11" t="s">
        <v>11</v>
      </c>
    </row>
    <row r="20">
      <c r="A20" s="12">
        <v>1.0</v>
      </c>
      <c r="B20" s="12" t="s">
        <v>43</v>
      </c>
      <c r="C20" s="13" t="s">
        <v>438</v>
      </c>
      <c r="D20" s="14">
        <v>1591.0</v>
      </c>
      <c r="E20" s="16"/>
      <c r="F20" s="14">
        <f t="shared" ref="F20:F33" si="3">SUM(D20:E20)</f>
        <v>1591</v>
      </c>
      <c r="G20" s="19">
        <f>F20</f>
        <v>1591</v>
      </c>
    </row>
    <row r="21">
      <c r="A21" s="12">
        <v>2.0</v>
      </c>
      <c r="B21" s="12" t="s">
        <v>40</v>
      </c>
      <c r="C21" s="13" t="s">
        <v>439</v>
      </c>
      <c r="D21" s="14">
        <v>1591.0</v>
      </c>
      <c r="E21" s="16"/>
      <c r="F21" s="14">
        <f t="shared" si="3"/>
        <v>1591</v>
      </c>
      <c r="G21" s="19">
        <f t="shared" ref="G21:G33" si="4">G20+F21</f>
        <v>3182</v>
      </c>
    </row>
    <row r="22">
      <c r="A22" s="12">
        <v>3.0</v>
      </c>
      <c r="B22" s="12" t="s">
        <v>45</v>
      </c>
      <c r="C22" s="13" t="s">
        <v>441</v>
      </c>
      <c r="D22" s="14">
        <v>2856.0</v>
      </c>
      <c r="E22" s="14">
        <v>2999.0</v>
      </c>
      <c r="F22" s="14">
        <f t="shared" si="3"/>
        <v>5855</v>
      </c>
      <c r="G22" s="19">
        <f t="shared" si="4"/>
        <v>9037</v>
      </c>
    </row>
    <row r="23">
      <c r="A23" s="12">
        <v>4.0</v>
      </c>
      <c r="B23" s="12" t="s">
        <v>43</v>
      </c>
      <c r="C23" s="13" t="s">
        <v>438</v>
      </c>
      <c r="D23" s="14">
        <v>1754.0</v>
      </c>
      <c r="E23" s="16"/>
      <c r="F23" s="14">
        <f t="shared" si="3"/>
        <v>1754</v>
      </c>
      <c r="G23" s="19">
        <f t="shared" si="4"/>
        <v>10791</v>
      </c>
    </row>
    <row r="24">
      <c r="A24" s="12">
        <v>5.0</v>
      </c>
      <c r="B24" s="12" t="s">
        <v>43</v>
      </c>
      <c r="C24" s="13" t="s">
        <v>438</v>
      </c>
      <c r="D24" s="14">
        <v>1841.0</v>
      </c>
      <c r="E24" s="16"/>
      <c r="F24" s="14">
        <f t="shared" si="3"/>
        <v>1841</v>
      </c>
      <c r="G24" s="19">
        <f t="shared" si="4"/>
        <v>12632</v>
      </c>
    </row>
    <row r="25">
      <c r="A25" s="12">
        <v>6.0</v>
      </c>
      <c r="B25" s="12" t="s">
        <v>51</v>
      </c>
      <c r="C25" s="13" t="s">
        <v>444</v>
      </c>
      <c r="D25" s="14">
        <v>1933.0</v>
      </c>
      <c r="E25" s="16"/>
      <c r="F25" s="14">
        <f t="shared" si="3"/>
        <v>1933</v>
      </c>
      <c r="G25" s="19">
        <f t="shared" si="4"/>
        <v>14565</v>
      </c>
    </row>
    <row r="26">
      <c r="A26" s="12">
        <v>7.0</v>
      </c>
      <c r="B26" s="12" t="s">
        <v>47</v>
      </c>
      <c r="C26" s="13" t="s">
        <v>446</v>
      </c>
      <c r="D26" s="14">
        <v>2030.0</v>
      </c>
      <c r="E26" s="16"/>
      <c r="F26" s="14">
        <f t="shared" si="3"/>
        <v>2030</v>
      </c>
      <c r="G26" s="19">
        <f t="shared" si="4"/>
        <v>16595</v>
      </c>
    </row>
    <row r="27">
      <c r="A27" s="12">
        <v>8.0</v>
      </c>
      <c r="B27" s="12" t="s">
        <v>43</v>
      </c>
      <c r="C27" s="13" t="s">
        <v>438</v>
      </c>
      <c r="D27" s="14">
        <v>2132.0</v>
      </c>
      <c r="E27" s="16"/>
      <c r="F27" s="14">
        <f t="shared" si="3"/>
        <v>2132</v>
      </c>
      <c r="G27" s="19">
        <f t="shared" si="4"/>
        <v>18727</v>
      </c>
    </row>
    <row r="28">
      <c r="A28" s="12">
        <v>9.0</v>
      </c>
      <c r="B28" s="12" t="s">
        <v>40</v>
      </c>
      <c r="C28" s="13" t="s">
        <v>439</v>
      </c>
      <c r="D28" s="14">
        <v>1754.0</v>
      </c>
      <c r="E28" s="16"/>
      <c r="F28" s="14">
        <f t="shared" si="3"/>
        <v>1754</v>
      </c>
      <c r="G28" s="19">
        <f t="shared" si="4"/>
        <v>20481</v>
      </c>
    </row>
    <row r="29">
      <c r="A29" s="12">
        <v>10.0</v>
      </c>
      <c r="B29" s="12" t="s">
        <v>40</v>
      </c>
      <c r="C29" s="13" t="s">
        <v>439</v>
      </c>
      <c r="D29" s="14">
        <v>1841.0</v>
      </c>
      <c r="E29" s="16"/>
      <c r="F29" s="14">
        <f t="shared" si="3"/>
        <v>1841</v>
      </c>
      <c r="G29" s="19">
        <f t="shared" si="4"/>
        <v>22322</v>
      </c>
    </row>
    <row r="30">
      <c r="A30" s="12">
        <v>11.0</v>
      </c>
      <c r="B30" s="12" t="s">
        <v>47</v>
      </c>
      <c r="C30" s="13" t="s">
        <v>447</v>
      </c>
      <c r="D30" s="14">
        <v>1933.0</v>
      </c>
      <c r="E30" s="16"/>
      <c r="F30" s="14">
        <f t="shared" si="3"/>
        <v>1933</v>
      </c>
      <c r="G30" s="19">
        <f t="shared" si="4"/>
        <v>24255</v>
      </c>
    </row>
    <row r="31">
      <c r="A31" s="12">
        <v>12.0</v>
      </c>
      <c r="B31" s="12" t="s">
        <v>51</v>
      </c>
      <c r="C31" s="13" t="s">
        <v>449</v>
      </c>
      <c r="D31" s="14">
        <v>2030.0</v>
      </c>
      <c r="E31" s="16"/>
      <c r="F31" s="14">
        <f t="shared" si="3"/>
        <v>2030</v>
      </c>
      <c r="G31" s="19">
        <f t="shared" si="4"/>
        <v>26285</v>
      </c>
    </row>
    <row r="32">
      <c r="A32" s="12">
        <v>13.0</v>
      </c>
      <c r="B32" s="12" t="s">
        <v>40</v>
      </c>
      <c r="C32" s="13" t="s">
        <v>439</v>
      </c>
      <c r="D32" s="14">
        <v>2132.0</v>
      </c>
      <c r="E32" s="16"/>
      <c r="F32" s="14">
        <f t="shared" si="3"/>
        <v>2132</v>
      </c>
      <c r="G32" s="19">
        <f t="shared" si="4"/>
        <v>28417</v>
      </c>
    </row>
    <row r="33">
      <c r="A33" s="12">
        <v>14.0</v>
      </c>
      <c r="B33" s="12" t="s">
        <v>443</v>
      </c>
      <c r="C33" s="13" t="s">
        <v>450</v>
      </c>
      <c r="D33" s="14">
        <v>4476.0</v>
      </c>
      <c r="E33" s="16"/>
      <c r="F33" s="14">
        <f t="shared" si="3"/>
        <v>4476</v>
      </c>
      <c r="G33" s="19">
        <f t="shared" si="4"/>
        <v>32893</v>
      </c>
    </row>
    <row r="34">
      <c r="A34" s="24"/>
      <c r="B34" s="24"/>
      <c r="C34" s="26"/>
      <c r="D34" s="27">
        <v>15.0</v>
      </c>
      <c r="E34" s="28"/>
      <c r="F34" s="27">
        <f>SUM(F20:F33)</f>
        <v>32893</v>
      </c>
      <c r="G34" s="29">
        <f>G33</f>
        <v>32893</v>
      </c>
    </row>
    <row r="35">
      <c r="C35" s="30"/>
      <c r="G35" s="30"/>
    </row>
    <row r="36">
      <c r="A36" s="4" t="s">
        <v>448</v>
      </c>
      <c r="B36" s="5"/>
      <c r="C36" s="5"/>
      <c r="D36" s="5"/>
      <c r="E36" s="5"/>
      <c r="F36" s="5"/>
      <c r="G36" s="6"/>
    </row>
    <row r="37">
      <c r="A37" s="7"/>
      <c r="B37" s="8"/>
      <c r="C37" s="8"/>
      <c r="D37" s="8"/>
      <c r="E37" s="8"/>
      <c r="F37" s="8"/>
      <c r="G37" s="9"/>
    </row>
    <row r="38">
      <c r="A38" s="10"/>
      <c r="B38" s="10" t="s">
        <v>6</v>
      </c>
      <c r="C38" s="11" t="s">
        <v>7</v>
      </c>
      <c r="D38" s="10" t="s">
        <v>8</v>
      </c>
      <c r="E38" s="10" t="s">
        <v>9</v>
      </c>
      <c r="F38" s="10" t="s">
        <v>10</v>
      </c>
      <c r="G38" s="11" t="s">
        <v>11</v>
      </c>
    </row>
    <row r="39">
      <c r="A39" s="12">
        <v>1.0</v>
      </c>
      <c r="B39" s="12" t="s">
        <v>72</v>
      </c>
      <c r="C39" s="13" t="s">
        <v>453</v>
      </c>
      <c r="D39" s="14">
        <v>1886.0</v>
      </c>
      <c r="E39" s="16"/>
      <c r="F39" s="14">
        <f t="shared" ref="F39:F55" si="5">SUM(D39:E39)</f>
        <v>1886</v>
      </c>
      <c r="G39" s="19">
        <f>F39</f>
        <v>1886</v>
      </c>
    </row>
    <row r="40">
      <c r="A40" s="12">
        <v>2.0</v>
      </c>
      <c r="B40" s="12" t="s">
        <v>72</v>
      </c>
      <c r="C40" s="13" t="s">
        <v>455</v>
      </c>
      <c r="D40" s="14">
        <v>1980.0</v>
      </c>
      <c r="E40" s="16"/>
      <c r="F40" s="14">
        <f t="shared" si="5"/>
        <v>1980</v>
      </c>
      <c r="G40" s="19">
        <f t="shared" ref="G40:G55" si="6">G39+F40</f>
        <v>3866</v>
      </c>
    </row>
    <row r="41">
      <c r="A41" s="12">
        <v>3.0</v>
      </c>
      <c r="B41" s="12" t="s">
        <v>72</v>
      </c>
      <c r="C41" s="13" t="s">
        <v>455</v>
      </c>
      <c r="D41" s="14">
        <v>2079.0</v>
      </c>
      <c r="E41" s="16"/>
      <c r="F41" s="14">
        <f t="shared" si="5"/>
        <v>2079</v>
      </c>
      <c r="G41" s="19">
        <f t="shared" si="6"/>
        <v>5945</v>
      </c>
    </row>
    <row r="42">
      <c r="A42" s="12">
        <v>4.0</v>
      </c>
      <c r="B42" s="12" t="s">
        <v>75</v>
      </c>
      <c r="C42" s="13" t="s">
        <v>459</v>
      </c>
      <c r="D42" s="14">
        <v>2183.0</v>
      </c>
      <c r="E42" s="16"/>
      <c r="F42" s="14">
        <f t="shared" si="5"/>
        <v>2183</v>
      </c>
      <c r="G42" s="19">
        <f t="shared" si="6"/>
        <v>8128</v>
      </c>
    </row>
    <row r="43">
      <c r="A43" s="12">
        <v>5.0</v>
      </c>
      <c r="B43" s="12" t="s">
        <v>79</v>
      </c>
      <c r="C43" s="13" t="s">
        <v>460</v>
      </c>
      <c r="D43" s="14">
        <v>1886.0</v>
      </c>
      <c r="E43" s="16"/>
      <c r="F43" s="14">
        <f t="shared" si="5"/>
        <v>1886</v>
      </c>
      <c r="G43" s="19">
        <f t="shared" si="6"/>
        <v>10014</v>
      </c>
    </row>
    <row r="44">
      <c r="A44" s="12">
        <v>6.0</v>
      </c>
      <c r="B44" s="12" t="s">
        <v>79</v>
      </c>
      <c r="C44" s="13" t="s">
        <v>113</v>
      </c>
      <c r="D44" s="14">
        <v>1980.0</v>
      </c>
      <c r="E44" s="16"/>
      <c r="F44" s="14">
        <f t="shared" si="5"/>
        <v>1980</v>
      </c>
      <c r="G44" s="19">
        <f t="shared" si="6"/>
        <v>11994</v>
      </c>
    </row>
    <row r="45">
      <c r="A45" s="12">
        <v>7.0</v>
      </c>
      <c r="B45" s="12" t="s">
        <v>79</v>
      </c>
      <c r="C45" s="13" t="s">
        <v>113</v>
      </c>
      <c r="D45" s="14">
        <v>2079.0</v>
      </c>
      <c r="E45" s="16"/>
      <c r="F45" s="14">
        <f t="shared" si="5"/>
        <v>2079</v>
      </c>
      <c r="G45" s="19">
        <f t="shared" si="6"/>
        <v>14073</v>
      </c>
    </row>
    <row r="46">
      <c r="A46" s="12">
        <v>8.0</v>
      </c>
      <c r="B46" s="12" t="s">
        <v>83</v>
      </c>
      <c r="C46" s="13" t="s">
        <v>462</v>
      </c>
      <c r="D46" s="14">
        <v>3734.0</v>
      </c>
      <c r="E46" s="14">
        <v>3921.0</v>
      </c>
      <c r="F46" s="14">
        <f t="shared" si="5"/>
        <v>7655</v>
      </c>
      <c r="G46" s="19">
        <f t="shared" si="6"/>
        <v>21728</v>
      </c>
    </row>
    <row r="47">
      <c r="A47" s="12">
        <v>9.0</v>
      </c>
      <c r="B47" s="12" t="s">
        <v>60</v>
      </c>
      <c r="C47" s="13" t="s">
        <v>464</v>
      </c>
      <c r="D47" s="14">
        <v>1886.0</v>
      </c>
      <c r="E47" s="16"/>
      <c r="F47" s="14">
        <f t="shared" si="5"/>
        <v>1886</v>
      </c>
      <c r="G47" s="19">
        <f t="shared" si="6"/>
        <v>23614</v>
      </c>
    </row>
    <row r="48">
      <c r="A48" s="12">
        <v>10.0</v>
      </c>
      <c r="B48" s="12" t="s">
        <v>60</v>
      </c>
      <c r="C48" s="13" t="s">
        <v>465</v>
      </c>
      <c r="D48" s="14">
        <v>1980.0</v>
      </c>
      <c r="E48" s="16"/>
      <c r="F48" s="14">
        <f t="shared" si="5"/>
        <v>1980</v>
      </c>
      <c r="G48" s="19">
        <f t="shared" si="6"/>
        <v>25594</v>
      </c>
    </row>
    <row r="49">
      <c r="A49" s="12">
        <v>11.0</v>
      </c>
      <c r="B49" s="12" t="s">
        <v>60</v>
      </c>
      <c r="C49" s="13" t="s">
        <v>465</v>
      </c>
      <c r="D49" s="14">
        <v>2079.0</v>
      </c>
      <c r="E49" s="16"/>
      <c r="F49" s="14">
        <f t="shared" si="5"/>
        <v>2079</v>
      </c>
      <c r="G49" s="19">
        <f t="shared" si="6"/>
        <v>27673</v>
      </c>
    </row>
    <row r="50">
      <c r="A50" s="12">
        <v>12.0</v>
      </c>
      <c r="B50" s="12" t="s">
        <v>64</v>
      </c>
      <c r="C50" s="13" t="s">
        <v>467</v>
      </c>
      <c r="D50" s="14">
        <v>2183.0</v>
      </c>
      <c r="E50" s="16"/>
      <c r="F50" s="14">
        <f t="shared" si="5"/>
        <v>2183</v>
      </c>
      <c r="G50" s="19">
        <f t="shared" si="6"/>
        <v>29856</v>
      </c>
    </row>
    <row r="51">
      <c r="A51" s="12">
        <v>13.0</v>
      </c>
      <c r="B51" s="12" t="s">
        <v>468</v>
      </c>
      <c r="C51" s="13" t="s">
        <v>469</v>
      </c>
      <c r="D51" s="14">
        <v>5881.0</v>
      </c>
      <c r="E51" s="16"/>
      <c r="F51" s="14">
        <f t="shared" si="5"/>
        <v>5881</v>
      </c>
      <c r="G51" s="19">
        <f t="shared" si="6"/>
        <v>35737</v>
      </c>
    </row>
    <row r="52">
      <c r="A52" s="12">
        <v>14.0</v>
      </c>
      <c r="B52" s="12" t="s">
        <v>67</v>
      </c>
      <c r="C52" s="13" t="s">
        <v>471</v>
      </c>
      <c r="D52" s="14">
        <v>1886.0</v>
      </c>
      <c r="E52" s="16"/>
      <c r="F52" s="14">
        <f t="shared" si="5"/>
        <v>1886</v>
      </c>
      <c r="G52" s="19">
        <f t="shared" si="6"/>
        <v>37623</v>
      </c>
    </row>
    <row r="53">
      <c r="A53" s="12">
        <v>15.0</v>
      </c>
      <c r="B53" s="12" t="s">
        <v>67</v>
      </c>
      <c r="C53" s="13" t="s">
        <v>472</v>
      </c>
      <c r="D53" s="14">
        <v>1980.0</v>
      </c>
      <c r="E53" s="16"/>
      <c r="F53" s="14">
        <f t="shared" si="5"/>
        <v>1980</v>
      </c>
      <c r="G53" s="19">
        <f t="shared" si="6"/>
        <v>39603</v>
      </c>
    </row>
    <row r="54">
      <c r="A54" s="12">
        <v>16.0</v>
      </c>
      <c r="B54" s="12" t="s">
        <v>67</v>
      </c>
      <c r="C54" s="13" t="s">
        <v>472</v>
      </c>
      <c r="D54" s="14">
        <v>2079.0</v>
      </c>
      <c r="E54" s="16"/>
      <c r="F54" s="14">
        <f t="shared" si="5"/>
        <v>2079</v>
      </c>
      <c r="G54" s="19">
        <f t="shared" si="6"/>
        <v>41682</v>
      </c>
    </row>
    <row r="55">
      <c r="A55" s="12">
        <v>17.0</v>
      </c>
      <c r="B55" s="12" t="s">
        <v>70</v>
      </c>
      <c r="C55" s="13" t="s">
        <v>475</v>
      </c>
      <c r="D55" s="14">
        <v>3734.0</v>
      </c>
      <c r="E55" s="14">
        <v>3921.0</v>
      </c>
      <c r="F55" s="14">
        <f t="shared" si="5"/>
        <v>7655</v>
      </c>
      <c r="G55" s="19">
        <f t="shared" si="6"/>
        <v>49337</v>
      </c>
    </row>
    <row r="56">
      <c r="A56" s="24"/>
      <c r="B56" s="24"/>
      <c r="C56" s="26"/>
      <c r="D56" s="27">
        <v>19.0</v>
      </c>
      <c r="E56" s="28"/>
      <c r="F56" s="27">
        <f>SUM(F39:F55)</f>
        <v>49337</v>
      </c>
      <c r="G56" s="29">
        <f>G55</f>
        <v>49337</v>
      </c>
    </row>
    <row r="57">
      <c r="C57" s="30"/>
      <c r="G57" s="30"/>
    </row>
    <row r="58">
      <c r="A58" s="4" t="s">
        <v>476</v>
      </c>
      <c r="B58" s="5"/>
      <c r="C58" s="5"/>
      <c r="D58" s="5"/>
      <c r="E58" s="5"/>
      <c r="F58" s="5"/>
      <c r="G58" s="6"/>
    </row>
    <row r="59">
      <c r="A59" s="7"/>
      <c r="B59" s="8"/>
      <c r="C59" s="8"/>
      <c r="D59" s="8"/>
      <c r="E59" s="8"/>
      <c r="F59" s="8"/>
      <c r="G59" s="9"/>
    </row>
    <row r="60">
      <c r="A60" s="10"/>
      <c r="B60" s="10" t="s">
        <v>6</v>
      </c>
      <c r="C60" s="11" t="s">
        <v>7</v>
      </c>
      <c r="D60" s="10" t="s">
        <v>8</v>
      </c>
      <c r="E60" s="10" t="s">
        <v>9</v>
      </c>
      <c r="F60" s="10" t="s">
        <v>10</v>
      </c>
      <c r="G60" s="11" t="s">
        <v>11</v>
      </c>
    </row>
    <row r="61">
      <c r="A61" s="12">
        <v>1.0</v>
      </c>
      <c r="B61" s="12" t="s">
        <v>104</v>
      </c>
      <c r="C61" s="13" t="s">
        <v>478</v>
      </c>
      <c r="D61" s="14">
        <v>1914.0</v>
      </c>
      <c r="E61" s="16"/>
      <c r="F61" s="14">
        <f t="shared" ref="F61:F84" si="7">SUM(D61:E61)</f>
        <v>1914</v>
      </c>
      <c r="G61" s="19">
        <f>F61</f>
        <v>1914</v>
      </c>
    </row>
    <row r="62">
      <c r="A62" s="12">
        <v>2.0</v>
      </c>
      <c r="B62" s="12" t="s">
        <v>104</v>
      </c>
      <c r="C62" s="13" t="s">
        <v>478</v>
      </c>
      <c r="D62" s="14">
        <v>2010.0</v>
      </c>
      <c r="E62" s="16"/>
      <c r="F62" s="14">
        <f t="shared" si="7"/>
        <v>2010</v>
      </c>
      <c r="G62" s="19">
        <f t="shared" ref="G62:G84" si="8">G61+F62</f>
        <v>3924</v>
      </c>
    </row>
    <row r="63">
      <c r="A63" s="12">
        <v>3.0</v>
      </c>
      <c r="B63" s="12" t="s">
        <v>104</v>
      </c>
      <c r="C63" s="13" t="s">
        <v>480</v>
      </c>
      <c r="D63" s="14">
        <v>2110.0</v>
      </c>
      <c r="E63" s="16"/>
      <c r="F63" s="14">
        <f t="shared" si="7"/>
        <v>2110</v>
      </c>
      <c r="G63" s="19">
        <f t="shared" si="8"/>
        <v>6034</v>
      </c>
    </row>
    <row r="64">
      <c r="A64" s="12">
        <v>4.0</v>
      </c>
      <c r="B64" s="12" t="s">
        <v>75</v>
      </c>
      <c r="C64" s="13" t="s">
        <v>482</v>
      </c>
      <c r="D64" s="14">
        <v>2216.0</v>
      </c>
      <c r="E64" s="16"/>
      <c r="F64" s="14">
        <f t="shared" si="7"/>
        <v>2216</v>
      </c>
      <c r="G64" s="19">
        <f t="shared" si="8"/>
        <v>8250</v>
      </c>
    </row>
    <row r="65">
      <c r="A65" s="12">
        <v>5.0</v>
      </c>
      <c r="B65" s="12" t="s">
        <v>106</v>
      </c>
      <c r="C65" s="13" t="s">
        <v>483</v>
      </c>
      <c r="D65" s="14">
        <v>2327.0</v>
      </c>
      <c r="E65" s="16"/>
      <c r="F65" s="14">
        <f t="shared" si="7"/>
        <v>2327</v>
      </c>
      <c r="G65" s="19">
        <f t="shared" si="8"/>
        <v>10577</v>
      </c>
    </row>
    <row r="66">
      <c r="A66" s="12">
        <v>6.0</v>
      </c>
      <c r="B66" s="12" t="s">
        <v>106</v>
      </c>
      <c r="C66" s="13" t="s">
        <v>484</v>
      </c>
      <c r="D66" s="14">
        <v>2443.0</v>
      </c>
      <c r="E66" s="16"/>
      <c r="F66" s="14">
        <f t="shared" si="7"/>
        <v>2443</v>
      </c>
      <c r="G66" s="19">
        <f t="shared" si="8"/>
        <v>13020</v>
      </c>
    </row>
    <row r="67">
      <c r="A67" s="12">
        <v>7.0</v>
      </c>
      <c r="B67" s="12" t="s">
        <v>51</v>
      </c>
      <c r="C67" s="13" t="s">
        <v>449</v>
      </c>
      <c r="D67" s="14">
        <v>2565.0</v>
      </c>
      <c r="E67" s="16"/>
      <c r="F67" s="14">
        <f t="shared" si="7"/>
        <v>2565</v>
      </c>
      <c r="G67" s="19">
        <f t="shared" si="8"/>
        <v>15585</v>
      </c>
    </row>
    <row r="68">
      <c r="A68" s="12">
        <v>8.0</v>
      </c>
      <c r="B68" s="12" t="s">
        <v>51</v>
      </c>
      <c r="C68" s="13" t="s">
        <v>449</v>
      </c>
      <c r="D68" s="14">
        <v>2694.0</v>
      </c>
      <c r="E68" s="16"/>
      <c r="F68" s="14">
        <f t="shared" si="7"/>
        <v>2694</v>
      </c>
      <c r="G68" s="19">
        <f t="shared" si="8"/>
        <v>18279</v>
      </c>
    </row>
    <row r="69">
      <c r="A69" s="12">
        <v>9.0</v>
      </c>
      <c r="B69" s="12" t="s">
        <v>51</v>
      </c>
      <c r="C69" s="13" t="s">
        <v>444</v>
      </c>
      <c r="D69" s="14">
        <v>2828.0</v>
      </c>
      <c r="E69" s="16"/>
      <c r="F69" s="14">
        <f t="shared" si="7"/>
        <v>2828</v>
      </c>
      <c r="G69" s="19">
        <f t="shared" si="8"/>
        <v>21107</v>
      </c>
    </row>
    <row r="70">
      <c r="A70" s="12">
        <v>10.0</v>
      </c>
      <c r="B70" s="12" t="s">
        <v>106</v>
      </c>
      <c r="C70" s="13" t="s">
        <v>483</v>
      </c>
      <c r="D70" s="14">
        <v>2443.0</v>
      </c>
      <c r="E70" s="16"/>
      <c r="F70" s="14">
        <f t="shared" si="7"/>
        <v>2443</v>
      </c>
      <c r="G70" s="19">
        <f t="shared" si="8"/>
        <v>23550</v>
      </c>
    </row>
    <row r="71">
      <c r="A71" s="12">
        <v>11.0</v>
      </c>
      <c r="B71" s="12" t="s">
        <v>93</v>
      </c>
      <c r="C71" s="13" t="s">
        <v>490</v>
      </c>
      <c r="D71" s="14">
        <v>1914.0</v>
      </c>
      <c r="E71" s="16"/>
      <c r="F71" s="14">
        <f t="shared" si="7"/>
        <v>1914</v>
      </c>
      <c r="G71" s="19">
        <f t="shared" si="8"/>
        <v>25464</v>
      </c>
    </row>
    <row r="72">
      <c r="A72" s="12">
        <v>12.0</v>
      </c>
      <c r="B72" s="12" t="s">
        <v>93</v>
      </c>
      <c r="C72" s="13" t="s">
        <v>490</v>
      </c>
      <c r="D72" s="14">
        <v>2010.0</v>
      </c>
      <c r="E72" s="16"/>
      <c r="F72" s="14">
        <f t="shared" si="7"/>
        <v>2010</v>
      </c>
      <c r="G72" s="19">
        <f t="shared" si="8"/>
        <v>27474</v>
      </c>
    </row>
    <row r="73">
      <c r="A73" s="12">
        <v>13.0</v>
      </c>
      <c r="B73" s="12" t="s">
        <v>93</v>
      </c>
      <c r="C73" s="13" t="s">
        <v>491</v>
      </c>
      <c r="D73" s="14">
        <v>2110.0</v>
      </c>
      <c r="E73" s="16"/>
      <c r="F73" s="14">
        <f t="shared" si="7"/>
        <v>2110</v>
      </c>
      <c r="G73" s="19">
        <f t="shared" si="8"/>
        <v>29584</v>
      </c>
    </row>
    <row r="74">
      <c r="A74" s="12">
        <v>14.0</v>
      </c>
      <c r="B74" s="12" t="s">
        <v>64</v>
      </c>
      <c r="C74" s="13" t="s">
        <v>492</v>
      </c>
      <c r="D74" s="14">
        <v>2216.0</v>
      </c>
      <c r="E74" s="16"/>
      <c r="F74" s="14">
        <f t="shared" si="7"/>
        <v>2216</v>
      </c>
      <c r="G74" s="19">
        <f t="shared" si="8"/>
        <v>31800</v>
      </c>
    </row>
    <row r="75">
      <c r="A75" s="12">
        <v>15.0</v>
      </c>
      <c r="B75" s="12" t="s">
        <v>99</v>
      </c>
      <c r="C75" s="13" t="s">
        <v>494</v>
      </c>
      <c r="D75" s="14">
        <v>2327.0</v>
      </c>
      <c r="E75" s="16"/>
      <c r="F75" s="14">
        <f t="shared" si="7"/>
        <v>2327</v>
      </c>
      <c r="G75" s="19">
        <f t="shared" si="8"/>
        <v>34127</v>
      </c>
    </row>
    <row r="76">
      <c r="A76" s="12">
        <v>16.0</v>
      </c>
      <c r="B76" s="12" t="s">
        <v>99</v>
      </c>
      <c r="C76" s="13" t="s">
        <v>494</v>
      </c>
      <c r="D76" s="14">
        <v>2443.0</v>
      </c>
      <c r="E76" s="16"/>
      <c r="F76" s="14">
        <f t="shared" si="7"/>
        <v>2443</v>
      </c>
      <c r="G76" s="19">
        <f t="shared" si="8"/>
        <v>36570</v>
      </c>
    </row>
    <row r="77">
      <c r="A77" s="12">
        <v>17.0</v>
      </c>
      <c r="B77" s="12" t="s">
        <v>75</v>
      </c>
      <c r="C77" s="13" t="s">
        <v>482</v>
      </c>
      <c r="D77" s="14">
        <v>2565.0</v>
      </c>
      <c r="E77" s="16"/>
      <c r="F77" s="14">
        <f t="shared" si="7"/>
        <v>2565</v>
      </c>
      <c r="G77" s="19">
        <f t="shared" si="8"/>
        <v>39135</v>
      </c>
    </row>
    <row r="78">
      <c r="A78" s="12">
        <v>18.0</v>
      </c>
      <c r="B78" s="12" t="s">
        <v>497</v>
      </c>
      <c r="C78" s="13" t="s">
        <v>499</v>
      </c>
      <c r="D78" s="14">
        <v>5656.0</v>
      </c>
      <c r="E78" s="16"/>
      <c r="F78" s="14">
        <f t="shared" si="7"/>
        <v>5656</v>
      </c>
      <c r="G78" s="19">
        <f t="shared" si="8"/>
        <v>44791</v>
      </c>
    </row>
    <row r="79">
      <c r="A79" s="12">
        <v>19.0</v>
      </c>
      <c r="B79" s="12" t="s">
        <v>64</v>
      </c>
      <c r="C79" s="13" t="s">
        <v>492</v>
      </c>
      <c r="D79" s="14">
        <v>2694.0</v>
      </c>
      <c r="E79" s="16"/>
      <c r="F79" s="14">
        <f t="shared" si="7"/>
        <v>2694</v>
      </c>
      <c r="G79" s="19">
        <f t="shared" si="8"/>
        <v>47485</v>
      </c>
    </row>
    <row r="80">
      <c r="A80" s="12">
        <v>20.0</v>
      </c>
      <c r="B80" s="12" t="s">
        <v>99</v>
      </c>
      <c r="C80" s="13" t="s">
        <v>501</v>
      </c>
      <c r="D80" s="14">
        <v>2443.0</v>
      </c>
      <c r="E80" s="16"/>
      <c r="F80" s="14">
        <f t="shared" si="7"/>
        <v>2443</v>
      </c>
      <c r="G80" s="19">
        <f t="shared" si="8"/>
        <v>49928</v>
      </c>
    </row>
    <row r="81">
      <c r="A81" s="12">
        <v>21.0</v>
      </c>
      <c r="B81" s="12" t="s">
        <v>47</v>
      </c>
      <c r="C81" s="13" t="s">
        <v>447</v>
      </c>
      <c r="D81" s="14">
        <v>2565.0</v>
      </c>
      <c r="E81" s="16"/>
      <c r="F81" s="14">
        <f t="shared" si="7"/>
        <v>2565</v>
      </c>
      <c r="G81" s="19">
        <f t="shared" si="8"/>
        <v>52493</v>
      </c>
    </row>
    <row r="82">
      <c r="A82" s="12">
        <v>22.0</v>
      </c>
      <c r="B82" s="12" t="s">
        <v>47</v>
      </c>
      <c r="C82" s="13" t="s">
        <v>447</v>
      </c>
      <c r="D82" s="14">
        <v>2694.0</v>
      </c>
      <c r="E82" s="16"/>
      <c r="F82" s="14">
        <f t="shared" si="7"/>
        <v>2694</v>
      </c>
      <c r="G82" s="19">
        <f t="shared" si="8"/>
        <v>55187</v>
      </c>
    </row>
    <row r="83">
      <c r="A83" s="12">
        <v>23.0</v>
      </c>
      <c r="B83" s="12" t="s">
        <v>47</v>
      </c>
      <c r="C83" s="13" t="s">
        <v>446</v>
      </c>
      <c r="D83" s="14">
        <v>2828.0</v>
      </c>
      <c r="E83" s="16"/>
      <c r="F83" s="14">
        <f t="shared" si="7"/>
        <v>2828</v>
      </c>
      <c r="G83" s="19">
        <f t="shared" si="8"/>
        <v>58015</v>
      </c>
    </row>
    <row r="84">
      <c r="A84" s="12">
        <v>24.0</v>
      </c>
      <c r="B84" s="12" t="s">
        <v>22</v>
      </c>
      <c r="C84" s="13" t="s">
        <v>503</v>
      </c>
      <c r="D84" s="14">
        <v>3790.0</v>
      </c>
      <c r="E84" s="14">
        <v>3980.0</v>
      </c>
      <c r="F84" s="14">
        <f t="shared" si="7"/>
        <v>7770</v>
      </c>
      <c r="G84" s="19">
        <f t="shared" si="8"/>
        <v>65785</v>
      </c>
    </row>
    <row r="85">
      <c r="A85" s="24"/>
      <c r="B85" s="24"/>
      <c r="C85" s="26"/>
      <c r="D85" s="27">
        <v>25.0</v>
      </c>
      <c r="E85" s="28"/>
      <c r="F85" s="27">
        <f>SUM(F61:F84)</f>
        <v>65785</v>
      </c>
      <c r="G85" s="29">
        <f>G84</f>
        <v>65785</v>
      </c>
    </row>
  </sheetData>
  <mergeCells count="4">
    <mergeCell ref="A1:G2"/>
    <mergeCell ref="A17:G18"/>
    <mergeCell ref="A36:G37"/>
    <mergeCell ref="A58:G59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7.86"/>
    <col customWidth="1" min="3" max="3" width="60.29"/>
    <col customWidth="1" min="4" max="5" width="7.14"/>
    <col customWidth="1" min="6" max="6" width="7.0"/>
    <col customWidth="1" min="7" max="7" width="8.57"/>
  </cols>
  <sheetData>
    <row r="1">
      <c r="A1" s="4" t="s">
        <v>241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12</v>
      </c>
      <c r="C4" s="13" t="s">
        <v>479</v>
      </c>
      <c r="D4" s="14">
        <v>811.0</v>
      </c>
      <c r="E4" s="16"/>
      <c r="F4" s="14">
        <f t="shared" ref="F4:F14" si="1">SUM(D4:E4)</f>
        <v>811</v>
      </c>
      <c r="G4" s="19">
        <f>F4</f>
        <v>811</v>
      </c>
    </row>
    <row r="5">
      <c r="A5" s="12">
        <v>2.0</v>
      </c>
      <c r="B5" s="12" t="s">
        <v>22</v>
      </c>
      <c r="C5" s="13" t="s">
        <v>23</v>
      </c>
      <c r="D5" s="14">
        <v>852.0</v>
      </c>
      <c r="E5" s="16"/>
      <c r="F5" s="14">
        <f t="shared" si="1"/>
        <v>852</v>
      </c>
      <c r="G5" s="19">
        <f t="shared" ref="G5:G14" si="2">G4+F5</f>
        <v>1663</v>
      </c>
    </row>
    <row r="6">
      <c r="A6" s="12">
        <v>3.0</v>
      </c>
      <c r="B6" s="12" t="s">
        <v>12</v>
      </c>
      <c r="C6" s="13" t="s">
        <v>485</v>
      </c>
      <c r="D6" s="14">
        <v>894.0</v>
      </c>
      <c r="E6" s="16"/>
      <c r="F6" s="14">
        <f t="shared" si="1"/>
        <v>894</v>
      </c>
      <c r="G6" s="19">
        <f t="shared" si="2"/>
        <v>2557</v>
      </c>
    </row>
    <row r="7">
      <c r="A7" s="12">
        <v>4.0</v>
      </c>
      <c r="B7" s="12" t="s">
        <v>25</v>
      </c>
      <c r="C7" s="13" t="s">
        <v>487</v>
      </c>
      <c r="D7" s="14">
        <v>939.0</v>
      </c>
      <c r="E7" s="16"/>
      <c r="F7" s="14">
        <f t="shared" si="1"/>
        <v>939</v>
      </c>
      <c r="G7" s="19">
        <f t="shared" si="2"/>
        <v>3496</v>
      </c>
    </row>
    <row r="8">
      <c r="A8" s="12">
        <v>5.0</v>
      </c>
      <c r="B8" s="12" t="s">
        <v>419</v>
      </c>
      <c r="C8" s="13" t="s">
        <v>488</v>
      </c>
      <c r="D8" s="14">
        <v>1686.0</v>
      </c>
      <c r="E8" s="14">
        <v>1770.0</v>
      </c>
      <c r="F8" s="14">
        <f t="shared" si="1"/>
        <v>3456</v>
      </c>
      <c r="G8" s="19">
        <f t="shared" si="2"/>
        <v>6952</v>
      </c>
    </row>
    <row r="9">
      <c r="A9" s="12">
        <v>6.0</v>
      </c>
      <c r="B9" s="12" t="s">
        <v>25</v>
      </c>
      <c r="C9" s="13" t="s">
        <v>489</v>
      </c>
      <c r="D9" s="14">
        <v>1035.0</v>
      </c>
      <c r="E9" s="16"/>
      <c r="F9" s="14">
        <f t="shared" si="1"/>
        <v>1035</v>
      </c>
      <c r="G9" s="19">
        <f t="shared" si="2"/>
        <v>7987</v>
      </c>
    </row>
    <row r="10">
      <c r="A10" s="12">
        <v>7.0</v>
      </c>
      <c r="B10" s="12" t="s">
        <v>12</v>
      </c>
      <c r="C10" s="13" t="s">
        <v>485</v>
      </c>
      <c r="D10" s="14">
        <v>1087.0</v>
      </c>
      <c r="E10" s="16"/>
      <c r="F10" s="14">
        <f t="shared" si="1"/>
        <v>1087</v>
      </c>
      <c r="G10" s="19">
        <f t="shared" si="2"/>
        <v>9074</v>
      </c>
    </row>
    <row r="11">
      <c r="A11" s="12">
        <v>8.0</v>
      </c>
      <c r="B11" s="12" t="s">
        <v>22</v>
      </c>
      <c r="C11" s="13" t="s">
        <v>23</v>
      </c>
      <c r="D11" s="14">
        <v>1141.0</v>
      </c>
      <c r="E11" s="16"/>
      <c r="F11" s="14">
        <f t="shared" si="1"/>
        <v>1141</v>
      </c>
      <c r="G11" s="19">
        <f t="shared" si="2"/>
        <v>10215</v>
      </c>
    </row>
    <row r="12">
      <c r="A12" s="12">
        <v>9.0</v>
      </c>
      <c r="B12" s="12" t="s">
        <v>25</v>
      </c>
      <c r="C12" s="13" t="s">
        <v>489</v>
      </c>
      <c r="D12" s="14">
        <v>1198.0</v>
      </c>
      <c r="E12" s="16"/>
      <c r="F12" s="14">
        <f t="shared" si="1"/>
        <v>1198</v>
      </c>
      <c r="G12" s="19">
        <f t="shared" si="2"/>
        <v>11413</v>
      </c>
    </row>
    <row r="13">
      <c r="A13" s="12">
        <v>10.0</v>
      </c>
      <c r="B13" s="12" t="s">
        <v>22</v>
      </c>
      <c r="C13" s="13" t="s">
        <v>385</v>
      </c>
      <c r="D13" s="14">
        <v>1258.0</v>
      </c>
      <c r="E13" s="16"/>
      <c r="F13" s="14">
        <f t="shared" si="1"/>
        <v>1258</v>
      </c>
      <c r="G13" s="19">
        <f t="shared" si="2"/>
        <v>12671</v>
      </c>
    </row>
    <row r="14">
      <c r="A14" s="12">
        <v>11.0</v>
      </c>
      <c r="B14" s="12" t="s">
        <v>422</v>
      </c>
      <c r="C14" s="13" t="s">
        <v>495</v>
      </c>
      <c r="D14" s="14">
        <v>3775.0</v>
      </c>
      <c r="E14" s="16"/>
      <c r="F14" s="14">
        <f t="shared" si="1"/>
        <v>3775</v>
      </c>
      <c r="G14" s="19">
        <f t="shared" si="2"/>
        <v>16446</v>
      </c>
    </row>
    <row r="15">
      <c r="A15" s="24"/>
      <c r="B15" s="24"/>
      <c r="C15" s="26"/>
      <c r="D15" s="27">
        <v>12.0</v>
      </c>
      <c r="E15" s="28"/>
      <c r="F15" s="27">
        <f>SUM(F4:F14)</f>
        <v>16446</v>
      </c>
      <c r="G15" s="29">
        <f>G14</f>
        <v>16446</v>
      </c>
    </row>
    <row r="16">
      <c r="C16" s="30"/>
      <c r="G16" s="30"/>
    </row>
    <row r="17">
      <c r="A17" s="4" t="s">
        <v>426</v>
      </c>
      <c r="B17" s="5"/>
      <c r="C17" s="5"/>
      <c r="D17" s="5"/>
      <c r="E17" s="5"/>
      <c r="F17" s="5"/>
      <c r="G17" s="6"/>
    </row>
    <row r="18">
      <c r="A18" s="7"/>
      <c r="B18" s="8"/>
      <c r="C18" s="8"/>
      <c r="D18" s="8"/>
      <c r="E18" s="8"/>
      <c r="F18" s="8"/>
      <c r="G18" s="9"/>
    </row>
    <row r="19">
      <c r="A19" s="10"/>
      <c r="B19" s="10" t="s">
        <v>6</v>
      </c>
      <c r="C19" s="11" t="s">
        <v>7</v>
      </c>
      <c r="D19" s="10" t="s">
        <v>8</v>
      </c>
      <c r="E19" s="10" t="s">
        <v>9</v>
      </c>
      <c r="F19" s="10" t="s">
        <v>10</v>
      </c>
      <c r="G19" s="11" t="s">
        <v>11</v>
      </c>
    </row>
    <row r="20">
      <c r="A20" s="12">
        <v>1.0</v>
      </c>
      <c r="B20" s="12" t="s">
        <v>40</v>
      </c>
      <c r="C20" s="13" t="s">
        <v>502</v>
      </c>
      <c r="D20" s="14">
        <v>1591.0</v>
      </c>
      <c r="E20" s="16"/>
      <c r="F20" s="14">
        <f t="shared" ref="F20:F33" si="3">SUM(D20:E20)</f>
        <v>1591</v>
      </c>
      <c r="G20" s="19">
        <f>F20</f>
        <v>1591</v>
      </c>
    </row>
    <row r="21">
      <c r="A21" s="12">
        <v>2.0</v>
      </c>
      <c r="B21" s="12" t="s">
        <v>43</v>
      </c>
      <c r="C21" s="13" t="s">
        <v>504</v>
      </c>
      <c r="D21" s="14">
        <v>1591.0</v>
      </c>
      <c r="E21" s="16"/>
      <c r="F21" s="14">
        <f t="shared" si="3"/>
        <v>1591</v>
      </c>
      <c r="G21" s="19">
        <f t="shared" ref="G21:G33" si="4">G20+F21</f>
        <v>3182</v>
      </c>
    </row>
    <row r="22">
      <c r="A22" s="12">
        <v>3.0</v>
      </c>
      <c r="B22" s="12" t="s">
        <v>45</v>
      </c>
      <c r="C22" s="13" t="s">
        <v>505</v>
      </c>
      <c r="D22" s="14">
        <v>2856.0</v>
      </c>
      <c r="E22" s="14">
        <v>2999.0</v>
      </c>
      <c r="F22" s="14">
        <f t="shared" si="3"/>
        <v>5855</v>
      </c>
      <c r="G22" s="19">
        <f t="shared" si="4"/>
        <v>9037</v>
      </c>
    </row>
    <row r="23">
      <c r="A23" s="12">
        <v>4.0</v>
      </c>
      <c r="B23" s="12" t="s">
        <v>40</v>
      </c>
      <c r="C23" s="13" t="s">
        <v>502</v>
      </c>
      <c r="D23" s="14">
        <v>1754.0</v>
      </c>
      <c r="E23" s="16"/>
      <c r="F23" s="14">
        <f t="shared" si="3"/>
        <v>1754</v>
      </c>
      <c r="G23" s="19">
        <f t="shared" si="4"/>
        <v>10791</v>
      </c>
    </row>
    <row r="24">
      <c r="A24" s="12">
        <v>5.0</v>
      </c>
      <c r="B24" s="12" t="s">
        <v>40</v>
      </c>
      <c r="C24" s="13" t="s">
        <v>502</v>
      </c>
      <c r="D24" s="14">
        <v>1841.0</v>
      </c>
      <c r="E24" s="16"/>
      <c r="F24" s="14">
        <f t="shared" si="3"/>
        <v>1841</v>
      </c>
      <c r="G24" s="19">
        <f t="shared" si="4"/>
        <v>12632</v>
      </c>
    </row>
    <row r="25">
      <c r="A25" s="12">
        <v>6.0</v>
      </c>
      <c r="B25" s="12" t="s">
        <v>47</v>
      </c>
      <c r="C25" s="13" t="s">
        <v>507</v>
      </c>
      <c r="D25" s="14">
        <v>1933.0</v>
      </c>
      <c r="E25" s="16"/>
      <c r="F25" s="14">
        <f t="shared" si="3"/>
        <v>1933</v>
      </c>
      <c r="G25" s="19">
        <f t="shared" si="4"/>
        <v>14565</v>
      </c>
    </row>
    <row r="26">
      <c r="A26" s="12">
        <v>7.0</v>
      </c>
      <c r="B26" s="12" t="s">
        <v>51</v>
      </c>
      <c r="C26" s="13" t="s">
        <v>509</v>
      </c>
      <c r="D26" s="14">
        <v>2030.0</v>
      </c>
      <c r="E26" s="16"/>
      <c r="F26" s="14">
        <f t="shared" si="3"/>
        <v>2030</v>
      </c>
      <c r="G26" s="19">
        <f t="shared" si="4"/>
        <v>16595</v>
      </c>
    </row>
    <row r="27">
      <c r="A27" s="12">
        <v>8.0</v>
      </c>
      <c r="B27" s="12" t="s">
        <v>40</v>
      </c>
      <c r="C27" s="13" t="s">
        <v>502</v>
      </c>
      <c r="D27" s="14">
        <v>2132.0</v>
      </c>
      <c r="E27" s="16"/>
      <c r="F27" s="14">
        <f t="shared" si="3"/>
        <v>2132</v>
      </c>
      <c r="G27" s="19">
        <f t="shared" si="4"/>
        <v>18727</v>
      </c>
    </row>
    <row r="28">
      <c r="A28" s="12">
        <v>9.0</v>
      </c>
      <c r="B28" s="12" t="s">
        <v>43</v>
      </c>
      <c r="C28" s="13" t="s">
        <v>504</v>
      </c>
      <c r="D28" s="14">
        <v>1754.0</v>
      </c>
      <c r="E28" s="16"/>
      <c r="F28" s="14">
        <f t="shared" si="3"/>
        <v>1754</v>
      </c>
      <c r="G28" s="19">
        <f t="shared" si="4"/>
        <v>20481</v>
      </c>
    </row>
    <row r="29">
      <c r="A29" s="12">
        <v>10.0</v>
      </c>
      <c r="B29" s="12" t="s">
        <v>43</v>
      </c>
      <c r="C29" s="13" t="s">
        <v>504</v>
      </c>
      <c r="D29" s="14">
        <v>1841.0</v>
      </c>
      <c r="E29" s="16"/>
      <c r="F29" s="14">
        <f t="shared" si="3"/>
        <v>1841</v>
      </c>
      <c r="G29" s="19">
        <f t="shared" si="4"/>
        <v>22322</v>
      </c>
    </row>
    <row r="30">
      <c r="A30" s="12">
        <v>11.0</v>
      </c>
      <c r="B30" s="12" t="s">
        <v>51</v>
      </c>
      <c r="C30" s="13" t="s">
        <v>512</v>
      </c>
      <c r="D30" s="14">
        <v>1933.0</v>
      </c>
      <c r="E30" s="16"/>
      <c r="F30" s="14">
        <f t="shared" si="3"/>
        <v>1933</v>
      </c>
      <c r="G30" s="19">
        <f t="shared" si="4"/>
        <v>24255</v>
      </c>
    </row>
    <row r="31">
      <c r="A31" s="12">
        <v>12.0</v>
      </c>
      <c r="B31" s="12" t="s">
        <v>47</v>
      </c>
      <c r="C31" s="13" t="s">
        <v>514</v>
      </c>
      <c r="D31" s="14">
        <v>2030.0</v>
      </c>
      <c r="E31" s="16"/>
      <c r="F31" s="14">
        <f t="shared" si="3"/>
        <v>2030</v>
      </c>
      <c r="G31" s="19">
        <f t="shared" si="4"/>
        <v>26285</v>
      </c>
    </row>
    <row r="32">
      <c r="A32" s="12">
        <v>13.0</v>
      </c>
      <c r="B32" s="12" t="s">
        <v>43</v>
      </c>
      <c r="C32" s="13" t="s">
        <v>504</v>
      </c>
      <c r="D32" s="14">
        <v>2132.0</v>
      </c>
      <c r="E32" s="16"/>
      <c r="F32" s="14">
        <f t="shared" si="3"/>
        <v>2132</v>
      </c>
      <c r="G32" s="19">
        <f t="shared" si="4"/>
        <v>28417</v>
      </c>
    </row>
    <row r="33">
      <c r="A33" s="12">
        <v>14.0</v>
      </c>
      <c r="B33" s="12" t="s">
        <v>443</v>
      </c>
      <c r="C33" s="13" t="s">
        <v>515</v>
      </c>
      <c r="D33" s="14">
        <v>4476.0</v>
      </c>
      <c r="E33" s="16"/>
      <c r="F33" s="14">
        <f t="shared" si="3"/>
        <v>4476</v>
      </c>
      <c r="G33" s="19">
        <f t="shared" si="4"/>
        <v>32893</v>
      </c>
    </row>
    <row r="34">
      <c r="A34" s="24"/>
      <c r="B34" s="24"/>
      <c r="C34" s="26"/>
      <c r="D34" s="27">
        <v>15.0</v>
      </c>
      <c r="E34" s="28"/>
      <c r="F34" s="27">
        <f>SUM(F20:F33)</f>
        <v>32893</v>
      </c>
      <c r="G34" s="29">
        <f>G33</f>
        <v>32893</v>
      </c>
    </row>
    <row r="35">
      <c r="C35" s="30"/>
      <c r="G35" s="30"/>
    </row>
    <row r="36">
      <c r="A36" s="4" t="s">
        <v>448</v>
      </c>
      <c r="B36" s="5"/>
      <c r="C36" s="5"/>
      <c r="D36" s="5"/>
      <c r="E36" s="5"/>
      <c r="F36" s="5"/>
      <c r="G36" s="6"/>
    </row>
    <row r="37">
      <c r="A37" s="7"/>
      <c r="B37" s="8"/>
      <c r="C37" s="8"/>
      <c r="D37" s="8"/>
      <c r="E37" s="8"/>
      <c r="F37" s="8"/>
      <c r="G37" s="9"/>
    </row>
    <row r="38">
      <c r="A38" s="10"/>
      <c r="B38" s="10" t="s">
        <v>6</v>
      </c>
      <c r="C38" s="11" t="s">
        <v>7</v>
      </c>
      <c r="D38" s="10" t="s">
        <v>8</v>
      </c>
      <c r="E38" s="10" t="s">
        <v>9</v>
      </c>
      <c r="F38" s="10" t="s">
        <v>10</v>
      </c>
      <c r="G38" s="11" t="s">
        <v>11</v>
      </c>
    </row>
    <row r="39">
      <c r="A39" s="12">
        <v>1.0</v>
      </c>
      <c r="B39" s="12" t="s">
        <v>60</v>
      </c>
      <c r="C39" s="13" t="s">
        <v>520</v>
      </c>
      <c r="D39" s="14">
        <v>1886.0</v>
      </c>
      <c r="E39" s="16"/>
      <c r="F39" s="14">
        <f t="shared" ref="F39:F55" si="5">SUM(D39:E39)</f>
        <v>1886</v>
      </c>
      <c r="G39" s="19">
        <f>F39</f>
        <v>1886</v>
      </c>
    </row>
    <row r="40">
      <c r="A40" s="12">
        <v>2.0</v>
      </c>
      <c r="B40" s="12" t="s">
        <v>60</v>
      </c>
      <c r="C40" s="13" t="s">
        <v>524</v>
      </c>
      <c r="D40" s="14">
        <v>1980.0</v>
      </c>
      <c r="E40" s="16"/>
      <c r="F40" s="14">
        <f t="shared" si="5"/>
        <v>1980</v>
      </c>
      <c r="G40" s="19">
        <f t="shared" ref="G40:G55" si="6">G39+F40</f>
        <v>3866</v>
      </c>
    </row>
    <row r="41">
      <c r="A41" s="12">
        <v>3.0</v>
      </c>
      <c r="B41" s="12" t="s">
        <v>60</v>
      </c>
      <c r="C41" s="13" t="s">
        <v>524</v>
      </c>
      <c r="D41" s="14">
        <v>2079.0</v>
      </c>
      <c r="E41" s="16"/>
      <c r="F41" s="14">
        <f t="shared" si="5"/>
        <v>2079</v>
      </c>
      <c r="G41" s="19">
        <f t="shared" si="6"/>
        <v>5945</v>
      </c>
    </row>
    <row r="42">
      <c r="A42" s="12">
        <v>4.0</v>
      </c>
      <c r="B42" s="12" t="s">
        <v>64</v>
      </c>
      <c r="C42" s="13" t="s">
        <v>525</v>
      </c>
      <c r="D42" s="14">
        <v>2183.0</v>
      </c>
      <c r="E42" s="16"/>
      <c r="F42" s="14">
        <f t="shared" si="5"/>
        <v>2183</v>
      </c>
      <c r="G42" s="19">
        <f t="shared" si="6"/>
        <v>8128</v>
      </c>
    </row>
    <row r="43">
      <c r="A43" s="12">
        <v>5.0</v>
      </c>
      <c r="B43" s="12" t="s">
        <v>67</v>
      </c>
      <c r="C43" s="13" t="s">
        <v>526</v>
      </c>
      <c r="D43" s="14">
        <v>1886.0</v>
      </c>
      <c r="E43" s="16"/>
      <c r="F43" s="14">
        <f t="shared" si="5"/>
        <v>1886</v>
      </c>
      <c r="G43" s="19">
        <f t="shared" si="6"/>
        <v>10014</v>
      </c>
    </row>
    <row r="44">
      <c r="A44" s="12">
        <v>6.0</v>
      </c>
      <c r="B44" s="12" t="s">
        <v>67</v>
      </c>
      <c r="C44" s="13" t="s">
        <v>527</v>
      </c>
      <c r="D44" s="14">
        <v>1980.0</v>
      </c>
      <c r="E44" s="16"/>
      <c r="F44" s="14">
        <f t="shared" si="5"/>
        <v>1980</v>
      </c>
      <c r="G44" s="19">
        <f t="shared" si="6"/>
        <v>11994</v>
      </c>
    </row>
    <row r="45">
      <c r="A45" s="12">
        <v>7.0</v>
      </c>
      <c r="B45" s="12" t="s">
        <v>67</v>
      </c>
      <c r="C45" s="13" t="s">
        <v>527</v>
      </c>
      <c r="D45" s="14">
        <v>2079.0</v>
      </c>
      <c r="E45" s="16"/>
      <c r="F45" s="14">
        <f t="shared" si="5"/>
        <v>2079</v>
      </c>
      <c r="G45" s="19">
        <f t="shared" si="6"/>
        <v>14073</v>
      </c>
    </row>
    <row r="46">
      <c r="A46" s="12">
        <v>8.0</v>
      </c>
      <c r="B46" s="12" t="s">
        <v>70</v>
      </c>
      <c r="C46" s="13" t="s">
        <v>530</v>
      </c>
      <c r="D46" s="14">
        <v>3734.0</v>
      </c>
      <c r="E46" s="14">
        <v>3921.0</v>
      </c>
      <c r="F46" s="14">
        <f t="shared" si="5"/>
        <v>7655</v>
      </c>
      <c r="G46" s="19">
        <f t="shared" si="6"/>
        <v>21728</v>
      </c>
    </row>
    <row r="47">
      <c r="A47" s="12">
        <v>9.0</v>
      </c>
      <c r="B47" s="12" t="s">
        <v>72</v>
      </c>
      <c r="C47" s="13" t="s">
        <v>532</v>
      </c>
      <c r="D47" s="14">
        <v>1886.0</v>
      </c>
      <c r="E47" s="16"/>
      <c r="F47" s="14">
        <f t="shared" si="5"/>
        <v>1886</v>
      </c>
      <c r="G47" s="19">
        <f t="shared" si="6"/>
        <v>23614</v>
      </c>
    </row>
    <row r="48">
      <c r="A48" s="12">
        <v>10.0</v>
      </c>
      <c r="B48" s="12" t="s">
        <v>72</v>
      </c>
      <c r="C48" s="13" t="s">
        <v>533</v>
      </c>
      <c r="D48" s="14">
        <v>1980.0</v>
      </c>
      <c r="E48" s="16"/>
      <c r="F48" s="14">
        <f t="shared" si="5"/>
        <v>1980</v>
      </c>
      <c r="G48" s="19">
        <f t="shared" si="6"/>
        <v>25594</v>
      </c>
    </row>
    <row r="49">
      <c r="A49" s="12">
        <v>11.0</v>
      </c>
      <c r="B49" s="12" t="s">
        <v>72</v>
      </c>
      <c r="C49" s="13" t="s">
        <v>533</v>
      </c>
      <c r="D49" s="14">
        <v>2079.0</v>
      </c>
      <c r="E49" s="16"/>
      <c r="F49" s="14">
        <f t="shared" si="5"/>
        <v>2079</v>
      </c>
      <c r="G49" s="19">
        <f t="shared" si="6"/>
        <v>27673</v>
      </c>
    </row>
    <row r="50">
      <c r="A50" s="12">
        <v>12.0</v>
      </c>
      <c r="B50" s="12" t="s">
        <v>75</v>
      </c>
      <c r="C50" s="13" t="s">
        <v>536</v>
      </c>
      <c r="D50" s="14">
        <v>2183.0</v>
      </c>
      <c r="E50" s="16"/>
      <c r="F50" s="14">
        <f t="shared" si="5"/>
        <v>2183</v>
      </c>
      <c r="G50" s="19">
        <f t="shared" si="6"/>
        <v>29856</v>
      </c>
    </row>
    <row r="51">
      <c r="A51" s="12">
        <v>13.0</v>
      </c>
      <c r="B51" s="12" t="s">
        <v>468</v>
      </c>
      <c r="C51" s="13" t="s">
        <v>538</v>
      </c>
      <c r="D51" s="14">
        <v>5881.0</v>
      </c>
      <c r="E51" s="16"/>
      <c r="F51" s="14">
        <f t="shared" si="5"/>
        <v>5881</v>
      </c>
      <c r="G51" s="19">
        <f t="shared" si="6"/>
        <v>35737</v>
      </c>
    </row>
    <row r="52">
      <c r="A52" s="12">
        <v>14.0</v>
      </c>
      <c r="B52" s="12" t="s">
        <v>79</v>
      </c>
      <c r="C52" s="13" t="s">
        <v>539</v>
      </c>
      <c r="D52" s="14">
        <v>1886.0</v>
      </c>
      <c r="E52" s="16"/>
      <c r="F52" s="14">
        <f t="shared" si="5"/>
        <v>1886</v>
      </c>
      <c r="G52" s="19">
        <f t="shared" si="6"/>
        <v>37623</v>
      </c>
    </row>
    <row r="53">
      <c r="A53" s="12">
        <v>15.0</v>
      </c>
      <c r="B53" s="12" t="s">
        <v>79</v>
      </c>
      <c r="C53" s="13" t="s">
        <v>80</v>
      </c>
      <c r="D53" s="14">
        <v>1980.0</v>
      </c>
      <c r="E53" s="16"/>
      <c r="F53" s="14">
        <f t="shared" si="5"/>
        <v>1980</v>
      </c>
      <c r="G53" s="19">
        <f t="shared" si="6"/>
        <v>39603</v>
      </c>
    </row>
    <row r="54">
      <c r="A54" s="12">
        <v>16.0</v>
      </c>
      <c r="B54" s="12" t="s">
        <v>79</v>
      </c>
      <c r="C54" s="13" t="s">
        <v>80</v>
      </c>
      <c r="D54" s="14">
        <v>2079.0</v>
      </c>
      <c r="E54" s="16"/>
      <c r="F54" s="14">
        <f t="shared" si="5"/>
        <v>2079</v>
      </c>
      <c r="G54" s="19">
        <f t="shared" si="6"/>
        <v>41682</v>
      </c>
    </row>
    <row r="55">
      <c r="A55" s="12">
        <v>17.0</v>
      </c>
      <c r="B55" s="12" t="s">
        <v>83</v>
      </c>
      <c r="C55" s="13" t="s">
        <v>541</v>
      </c>
      <c r="D55" s="14">
        <v>3734.0</v>
      </c>
      <c r="E55" s="14">
        <v>3921.0</v>
      </c>
      <c r="F55" s="14">
        <f t="shared" si="5"/>
        <v>7655</v>
      </c>
      <c r="G55" s="19">
        <f t="shared" si="6"/>
        <v>49337</v>
      </c>
    </row>
    <row r="56">
      <c r="A56" s="24"/>
      <c r="B56" s="24"/>
      <c r="C56" s="26"/>
      <c r="D56" s="27">
        <v>19.0</v>
      </c>
      <c r="E56" s="28"/>
      <c r="F56" s="27">
        <f>SUM(F39:F55)</f>
        <v>49337</v>
      </c>
      <c r="G56" s="29">
        <f>G55</f>
        <v>49337</v>
      </c>
    </row>
    <row r="57">
      <c r="C57" s="30"/>
      <c r="G57" s="30"/>
    </row>
    <row r="58">
      <c r="A58" s="4" t="s">
        <v>476</v>
      </c>
      <c r="B58" s="5"/>
      <c r="C58" s="5"/>
      <c r="D58" s="5"/>
      <c r="E58" s="5"/>
      <c r="F58" s="5"/>
      <c r="G58" s="6"/>
    </row>
    <row r="59">
      <c r="A59" s="7"/>
      <c r="B59" s="8"/>
      <c r="C59" s="8"/>
      <c r="D59" s="8"/>
      <c r="E59" s="8"/>
      <c r="F59" s="8"/>
      <c r="G59" s="9"/>
    </row>
    <row r="60">
      <c r="A60" s="10"/>
      <c r="B60" s="10" t="s">
        <v>6</v>
      </c>
      <c r="C60" s="11" t="s">
        <v>7</v>
      </c>
      <c r="D60" s="10" t="s">
        <v>8</v>
      </c>
      <c r="E60" s="10" t="s">
        <v>9</v>
      </c>
      <c r="F60" s="10" t="s">
        <v>10</v>
      </c>
      <c r="G60" s="11" t="s">
        <v>11</v>
      </c>
    </row>
    <row r="61">
      <c r="A61" s="12">
        <v>1.0</v>
      </c>
      <c r="B61" s="12" t="s">
        <v>93</v>
      </c>
      <c r="C61" s="13" t="s">
        <v>544</v>
      </c>
      <c r="D61" s="14">
        <v>1914.0</v>
      </c>
      <c r="E61" s="16"/>
      <c r="F61" s="14">
        <f t="shared" ref="F61:F84" si="7">SUM(D61:E61)</f>
        <v>1914</v>
      </c>
      <c r="G61" s="19">
        <f>F61</f>
        <v>1914</v>
      </c>
    </row>
    <row r="62">
      <c r="A62" s="12">
        <v>2.0</v>
      </c>
      <c r="B62" s="12" t="s">
        <v>93</v>
      </c>
      <c r="C62" s="13" t="s">
        <v>544</v>
      </c>
      <c r="D62" s="14">
        <v>2010.0</v>
      </c>
      <c r="E62" s="16"/>
      <c r="F62" s="14">
        <f t="shared" si="7"/>
        <v>2010</v>
      </c>
      <c r="G62" s="19">
        <f t="shared" ref="G62:G84" si="8">G61+F62</f>
        <v>3924</v>
      </c>
    </row>
    <row r="63">
      <c r="A63" s="12">
        <v>3.0</v>
      </c>
      <c r="B63" s="12" t="s">
        <v>93</v>
      </c>
      <c r="C63" s="13" t="s">
        <v>546</v>
      </c>
      <c r="D63" s="14">
        <v>2110.0</v>
      </c>
      <c r="E63" s="16"/>
      <c r="F63" s="14">
        <f t="shared" si="7"/>
        <v>2110</v>
      </c>
      <c r="G63" s="19">
        <f t="shared" si="8"/>
        <v>6034</v>
      </c>
    </row>
    <row r="64">
      <c r="A64" s="12">
        <v>4.0</v>
      </c>
      <c r="B64" s="12" t="s">
        <v>64</v>
      </c>
      <c r="C64" s="13" t="s">
        <v>548</v>
      </c>
      <c r="D64" s="14">
        <v>2216.0</v>
      </c>
      <c r="E64" s="16"/>
      <c r="F64" s="14">
        <f t="shared" si="7"/>
        <v>2216</v>
      </c>
      <c r="G64" s="19">
        <f t="shared" si="8"/>
        <v>8250</v>
      </c>
    </row>
    <row r="65">
      <c r="A65" s="12">
        <v>5.0</v>
      </c>
      <c r="B65" s="12" t="s">
        <v>99</v>
      </c>
      <c r="C65" s="13" t="s">
        <v>550</v>
      </c>
      <c r="D65" s="14">
        <v>2327.0</v>
      </c>
      <c r="E65" s="16"/>
      <c r="F65" s="14">
        <f t="shared" si="7"/>
        <v>2327</v>
      </c>
      <c r="G65" s="19">
        <f t="shared" si="8"/>
        <v>10577</v>
      </c>
    </row>
    <row r="66">
      <c r="A66" s="12">
        <v>6.0</v>
      </c>
      <c r="B66" s="12" t="s">
        <v>99</v>
      </c>
      <c r="C66" s="13" t="s">
        <v>551</v>
      </c>
      <c r="D66" s="14">
        <v>2443.0</v>
      </c>
      <c r="E66" s="16"/>
      <c r="F66" s="14">
        <f t="shared" si="7"/>
        <v>2443</v>
      </c>
      <c r="G66" s="19">
        <f t="shared" si="8"/>
        <v>13020</v>
      </c>
    </row>
    <row r="67">
      <c r="A67" s="12">
        <v>7.0</v>
      </c>
      <c r="B67" s="12" t="s">
        <v>47</v>
      </c>
      <c r="C67" s="13" t="s">
        <v>507</v>
      </c>
      <c r="D67" s="14">
        <v>2565.0</v>
      </c>
      <c r="E67" s="16"/>
      <c r="F67" s="14">
        <f t="shared" si="7"/>
        <v>2565</v>
      </c>
      <c r="G67" s="19">
        <f t="shared" si="8"/>
        <v>15585</v>
      </c>
    </row>
    <row r="68">
      <c r="A68" s="12">
        <v>8.0</v>
      </c>
      <c r="B68" s="12" t="s">
        <v>47</v>
      </c>
      <c r="C68" s="13" t="s">
        <v>507</v>
      </c>
      <c r="D68" s="14">
        <v>2694.0</v>
      </c>
      <c r="E68" s="16"/>
      <c r="F68" s="14">
        <f t="shared" si="7"/>
        <v>2694</v>
      </c>
      <c r="G68" s="19">
        <f t="shared" si="8"/>
        <v>18279</v>
      </c>
    </row>
    <row r="69">
      <c r="A69" s="12">
        <v>9.0</v>
      </c>
      <c r="B69" s="12" t="s">
        <v>47</v>
      </c>
      <c r="C69" s="13" t="s">
        <v>514</v>
      </c>
      <c r="D69" s="14">
        <v>2828.0</v>
      </c>
      <c r="E69" s="16"/>
      <c r="F69" s="14">
        <f t="shared" si="7"/>
        <v>2828</v>
      </c>
      <c r="G69" s="19">
        <f t="shared" si="8"/>
        <v>21107</v>
      </c>
    </row>
    <row r="70">
      <c r="A70" s="12">
        <v>10.0</v>
      </c>
      <c r="B70" s="12" t="s">
        <v>99</v>
      </c>
      <c r="C70" s="13" t="s">
        <v>550</v>
      </c>
      <c r="D70" s="14">
        <v>2443.0</v>
      </c>
      <c r="E70" s="16"/>
      <c r="F70" s="14">
        <f t="shared" si="7"/>
        <v>2443</v>
      </c>
      <c r="G70" s="19">
        <f t="shared" si="8"/>
        <v>23550</v>
      </c>
    </row>
    <row r="71">
      <c r="A71" s="12">
        <v>11.0</v>
      </c>
      <c r="B71" s="12" t="s">
        <v>104</v>
      </c>
      <c r="C71" s="13" t="s">
        <v>554</v>
      </c>
      <c r="D71" s="14">
        <v>1914.0</v>
      </c>
      <c r="E71" s="16"/>
      <c r="F71" s="14">
        <f t="shared" si="7"/>
        <v>1914</v>
      </c>
      <c r="G71" s="19">
        <f t="shared" si="8"/>
        <v>25464</v>
      </c>
    </row>
    <row r="72">
      <c r="A72" s="12">
        <v>12.0</v>
      </c>
      <c r="B72" s="12" t="s">
        <v>104</v>
      </c>
      <c r="C72" s="13" t="s">
        <v>554</v>
      </c>
      <c r="D72" s="14">
        <v>2010.0</v>
      </c>
      <c r="E72" s="16"/>
      <c r="F72" s="14">
        <f t="shared" si="7"/>
        <v>2010</v>
      </c>
      <c r="G72" s="19">
        <f t="shared" si="8"/>
        <v>27474</v>
      </c>
    </row>
    <row r="73">
      <c r="A73" s="12">
        <v>13.0</v>
      </c>
      <c r="B73" s="12" t="s">
        <v>104</v>
      </c>
      <c r="C73" s="13" t="s">
        <v>556</v>
      </c>
      <c r="D73" s="14">
        <v>2110.0</v>
      </c>
      <c r="E73" s="16"/>
      <c r="F73" s="14">
        <f t="shared" si="7"/>
        <v>2110</v>
      </c>
      <c r="G73" s="19">
        <f t="shared" si="8"/>
        <v>29584</v>
      </c>
    </row>
    <row r="74">
      <c r="A74" s="12">
        <v>14.0</v>
      </c>
      <c r="B74" s="12" t="s">
        <v>75</v>
      </c>
      <c r="C74" s="13" t="s">
        <v>557</v>
      </c>
      <c r="D74" s="14">
        <v>2216.0</v>
      </c>
      <c r="E74" s="16"/>
      <c r="F74" s="14">
        <f t="shared" si="7"/>
        <v>2216</v>
      </c>
      <c r="G74" s="19">
        <f t="shared" si="8"/>
        <v>31800</v>
      </c>
    </row>
    <row r="75">
      <c r="A75" s="12">
        <v>15.0</v>
      </c>
      <c r="B75" s="12" t="s">
        <v>106</v>
      </c>
      <c r="C75" s="13" t="s">
        <v>559</v>
      </c>
      <c r="D75" s="14">
        <v>2327.0</v>
      </c>
      <c r="E75" s="16"/>
      <c r="F75" s="14">
        <f t="shared" si="7"/>
        <v>2327</v>
      </c>
      <c r="G75" s="19">
        <f t="shared" si="8"/>
        <v>34127</v>
      </c>
    </row>
    <row r="76">
      <c r="A76" s="12">
        <v>16.0</v>
      </c>
      <c r="B76" s="12" t="s">
        <v>106</v>
      </c>
      <c r="C76" s="13" t="s">
        <v>559</v>
      </c>
      <c r="D76" s="14">
        <v>2443.0</v>
      </c>
      <c r="E76" s="16"/>
      <c r="F76" s="14">
        <f t="shared" si="7"/>
        <v>2443</v>
      </c>
      <c r="G76" s="19">
        <f t="shared" si="8"/>
        <v>36570</v>
      </c>
    </row>
    <row r="77">
      <c r="A77" s="12">
        <v>17.0</v>
      </c>
      <c r="B77" s="12" t="s">
        <v>75</v>
      </c>
      <c r="C77" s="13" t="s">
        <v>557</v>
      </c>
      <c r="D77" s="14">
        <v>2565.0</v>
      </c>
      <c r="E77" s="16"/>
      <c r="F77" s="14">
        <f t="shared" si="7"/>
        <v>2565</v>
      </c>
      <c r="G77" s="19">
        <f t="shared" si="8"/>
        <v>39135</v>
      </c>
    </row>
    <row r="78">
      <c r="A78" s="12">
        <v>18.0</v>
      </c>
      <c r="B78" s="12" t="s">
        <v>497</v>
      </c>
      <c r="C78" s="13" t="s">
        <v>563</v>
      </c>
      <c r="D78" s="14">
        <v>5656.0</v>
      </c>
      <c r="E78" s="16"/>
      <c r="F78" s="14">
        <f t="shared" si="7"/>
        <v>5656</v>
      </c>
      <c r="G78" s="19">
        <f t="shared" si="8"/>
        <v>44791</v>
      </c>
    </row>
    <row r="79">
      <c r="A79" s="12">
        <v>19.0</v>
      </c>
      <c r="B79" s="12" t="s">
        <v>64</v>
      </c>
      <c r="C79" s="13" t="s">
        <v>548</v>
      </c>
      <c r="D79" s="14">
        <v>2694.0</v>
      </c>
      <c r="E79" s="16"/>
      <c r="F79" s="14">
        <f t="shared" si="7"/>
        <v>2694</v>
      </c>
      <c r="G79" s="19">
        <f t="shared" si="8"/>
        <v>47485</v>
      </c>
    </row>
    <row r="80">
      <c r="A80" s="12">
        <v>20.0</v>
      </c>
      <c r="B80" s="12" t="s">
        <v>106</v>
      </c>
      <c r="C80" s="13" t="s">
        <v>565</v>
      </c>
      <c r="D80" s="14">
        <v>2443.0</v>
      </c>
      <c r="E80" s="16"/>
      <c r="F80" s="14">
        <f t="shared" si="7"/>
        <v>2443</v>
      </c>
      <c r="G80" s="19">
        <f t="shared" si="8"/>
        <v>49928</v>
      </c>
    </row>
    <row r="81">
      <c r="A81" s="12">
        <v>21.0</v>
      </c>
      <c r="B81" s="12" t="s">
        <v>51</v>
      </c>
      <c r="C81" s="13" t="s">
        <v>509</v>
      </c>
      <c r="D81" s="14">
        <v>2565.0</v>
      </c>
      <c r="E81" s="16"/>
      <c r="F81" s="14">
        <f t="shared" si="7"/>
        <v>2565</v>
      </c>
      <c r="G81" s="19">
        <f t="shared" si="8"/>
        <v>52493</v>
      </c>
    </row>
    <row r="82">
      <c r="A82" s="12">
        <v>22.0</v>
      </c>
      <c r="B82" s="12" t="s">
        <v>51</v>
      </c>
      <c r="C82" s="13" t="s">
        <v>509</v>
      </c>
      <c r="D82" s="14">
        <v>2694.0</v>
      </c>
      <c r="E82" s="16"/>
      <c r="F82" s="14">
        <f t="shared" si="7"/>
        <v>2694</v>
      </c>
      <c r="G82" s="19">
        <f t="shared" si="8"/>
        <v>55187</v>
      </c>
    </row>
    <row r="83">
      <c r="A83" s="12">
        <v>23.0</v>
      </c>
      <c r="B83" s="12" t="s">
        <v>51</v>
      </c>
      <c r="C83" s="13" t="s">
        <v>512</v>
      </c>
      <c r="D83" s="14">
        <v>2828.0</v>
      </c>
      <c r="E83" s="16"/>
      <c r="F83" s="14">
        <f t="shared" si="7"/>
        <v>2828</v>
      </c>
      <c r="G83" s="19">
        <f t="shared" si="8"/>
        <v>58015</v>
      </c>
    </row>
    <row r="84">
      <c r="A84" s="12">
        <v>24.0</v>
      </c>
      <c r="B84" s="12" t="s">
        <v>22</v>
      </c>
      <c r="C84" s="13" t="s">
        <v>568</v>
      </c>
      <c r="D84" s="14">
        <v>3790.0</v>
      </c>
      <c r="E84" s="14">
        <v>3980.0</v>
      </c>
      <c r="F84" s="14">
        <f t="shared" si="7"/>
        <v>7770</v>
      </c>
      <c r="G84" s="19">
        <f t="shared" si="8"/>
        <v>65785</v>
      </c>
    </row>
    <row r="85">
      <c r="A85" s="24"/>
      <c r="B85" s="24"/>
      <c r="C85" s="26"/>
      <c r="D85" s="27">
        <v>25.0</v>
      </c>
      <c r="E85" s="28"/>
      <c r="F85" s="27">
        <f>SUM(F61:F84)</f>
        <v>65785</v>
      </c>
      <c r="G85" s="29">
        <f>G84</f>
        <v>65785</v>
      </c>
    </row>
  </sheetData>
  <mergeCells count="4">
    <mergeCell ref="A1:G2"/>
    <mergeCell ref="A17:G18"/>
    <mergeCell ref="A36:G37"/>
    <mergeCell ref="A58:G59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8.86"/>
    <col customWidth="1" min="3" max="3" width="65.0"/>
    <col customWidth="1" min="4" max="5" width="7.14"/>
    <col customWidth="1" min="6" max="6" width="7.0"/>
    <col customWidth="1" min="7" max="7" width="8.57"/>
  </cols>
  <sheetData>
    <row r="1">
      <c r="A1" s="4" t="s">
        <v>263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25</v>
      </c>
      <c r="C4" s="13" t="s">
        <v>32</v>
      </c>
      <c r="D4" s="14">
        <v>947.0</v>
      </c>
      <c r="E4" s="16"/>
      <c r="F4" s="14">
        <f t="shared" ref="F4:F17" si="1">SUM(D4:E4)</f>
        <v>947</v>
      </c>
      <c r="G4" s="19">
        <f>F4</f>
        <v>947</v>
      </c>
    </row>
    <row r="5">
      <c r="A5" s="12">
        <v>2.0</v>
      </c>
      <c r="B5" s="12" t="s">
        <v>25</v>
      </c>
      <c r="C5" s="13" t="s">
        <v>508</v>
      </c>
      <c r="D5" s="14">
        <v>994.0</v>
      </c>
      <c r="E5" s="16"/>
      <c r="F5" s="14">
        <f t="shared" si="1"/>
        <v>994</v>
      </c>
      <c r="G5" s="19">
        <f t="shared" ref="G5:G17" si="2">G4+F5</f>
        <v>1941</v>
      </c>
    </row>
    <row r="6">
      <c r="A6" s="12">
        <v>3.0</v>
      </c>
      <c r="B6" s="12" t="s">
        <v>25</v>
      </c>
      <c r="C6" s="13" t="s">
        <v>508</v>
      </c>
      <c r="D6" s="14">
        <v>1044.0</v>
      </c>
      <c r="E6" s="16"/>
      <c r="F6" s="14">
        <f t="shared" si="1"/>
        <v>1044</v>
      </c>
      <c r="G6" s="19">
        <f t="shared" si="2"/>
        <v>2985</v>
      </c>
    </row>
    <row r="7">
      <c r="A7" s="12">
        <v>4.0</v>
      </c>
      <c r="B7" s="12" t="s">
        <v>22</v>
      </c>
      <c r="C7" s="13" t="s">
        <v>363</v>
      </c>
      <c r="D7" s="14">
        <v>1096.0</v>
      </c>
      <c r="E7" s="16"/>
      <c r="F7" s="14">
        <f t="shared" si="1"/>
        <v>1096</v>
      </c>
      <c r="G7" s="19">
        <f t="shared" si="2"/>
        <v>4081</v>
      </c>
    </row>
    <row r="8">
      <c r="A8" s="12">
        <v>5.0</v>
      </c>
      <c r="B8" s="12" t="s">
        <v>25</v>
      </c>
      <c r="C8" s="13" t="s">
        <v>429</v>
      </c>
      <c r="D8" s="14">
        <v>1151.0</v>
      </c>
      <c r="E8" s="16"/>
      <c r="F8" s="14">
        <f t="shared" si="1"/>
        <v>1151</v>
      </c>
      <c r="G8" s="19">
        <f t="shared" si="2"/>
        <v>5232</v>
      </c>
    </row>
    <row r="9">
      <c r="A9" s="12">
        <v>6.0</v>
      </c>
      <c r="B9" s="12" t="s">
        <v>25</v>
      </c>
      <c r="C9" s="13" t="s">
        <v>429</v>
      </c>
      <c r="D9" s="14">
        <v>1208.0</v>
      </c>
      <c r="E9" s="16"/>
      <c r="F9" s="14">
        <f t="shared" si="1"/>
        <v>1208</v>
      </c>
      <c r="G9" s="19">
        <f t="shared" si="2"/>
        <v>6440</v>
      </c>
    </row>
    <row r="10">
      <c r="A10" s="12">
        <v>7.0</v>
      </c>
      <c r="B10" s="12" t="s">
        <v>516</v>
      </c>
      <c r="C10" s="13" t="s">
        <v>517</v>
      </c>
      <c r="D10" s="14">
        <v>2170.0</v>
      </c>
      <c r="E10" s="14">
        <v>2279.0</v>
      </c>
      <c r="F10" s="14">
        <f t="shared" si="1"/>
        <v>4449</v>
      </c>
      <c r="G10" s="19">
        <f t="shared" si="2"/>
        <v>10889</v>
      </c>
    </row>
    <row r="11">
      <c r="A11" s="12">
        <v>8.0</v>
      </c>
      <c r="B11" s="12" t="s">
        <v>12</v>
      </c>
      <c r="C11" s="13" t="s">
        <v>16</v>
      </c>
      <c r="D11" s="14">
        <v>947.0</v>
      </c>
      <c r="E11" s="16"/>
      <c r="F11" s="14">
        <f t="shared" si="1"/>
        <v>947</v>
      </c>
      <c r="G11" s="19">
        <f t="shared" si="2"/>
        <v>11836</v>
      </c>
    </row>
    <row r="12">
      <c r="A12" s="12">
        <v>9.0</v>
      </c>
      <c r="B12" s="12" t="s">
        <v>12</v>
      </c>
      <c r="C12" s="13" t="s">
        <v>518</v>
      </c>
      <c r="D12" s="14">
        <v>994.0</v>
      </c>
      <c r="E12" s="16"/>
      <c r="F12" s="14">
        <f t="shared" si="1"/>
        <v>994</v>
      </c>
      <c r="G12" s="19">
        <f t="shared" si="2"/>
        <v>12830</v>
      </c>
    </row>
    <row r="13">
      <c r="A13" s="12">
        <v>10.0</v>
      </c>
      <c r="B13" s="12" t="s">
        <v>12</v>
      </c>
      <c r="C13" s="13" t="s">
        <v>518</v>
      </c>
      <c r="D13" s="14">
        <v>1044.0</v>
      </c>
      <c r="E13" s="16"/>
      <c r="F13" s="14">
        <f t="shared" si="1"/>
        <v>1044</v>
      </c>
      <c r="G13" s="19">
        <f t="shared" si="2"/>
        <v>13874</v>
      </c>
    </row>
    <row r="14">
      <c r="A14" s="12">
        <v>11.0</v>
      </c>
      <c r="B14" s="12" t="s">
        <v>22</v>
      </c>
      <c r="C14" s="13" t="s">
        <v>363</v>
      </c>
      <c r="D14" s="14">
        <v>1096.0</v>
      </c>
      <c r="E14" s="16"/>
      <c r="F14" s="14">
        <f t="shared" si="1"/>
        <v>1096</v>
      </c>
      <c r="G14" s="19">
        <f t="shared" si="2"/>
        <v>14970</v>
      </c>
    </row>
    <row r="15">
      <c r="A15" s="12">
        <v>12.0</v>
      </c>
      <c r="B15" s="12" t="s">
        <v>12</v>
      </c>
      <c r="C15" s="13" t="s">
        <v>425</v>
      </c>
      <c r="D15" s="14">
        <v>1151.0</v>
      </c>
      <c r="E15" s="16"/>
      <c r="F15" s="14">
        <f t="shared" si="1"/>
        <v>1151</v>
      </c>
      <c r="G15" s="19">
        <f t="shared" si="2"/>
        <v>16121</v>
      </c>
    </row>
    <row r="16">
      <c r="A16" s="12">
        <v>13.0</v>
      </c>
      <c r="B16" s="12" t="s">
        <v>12</v>
      </c>
      <c r="C16" s="13" t="s">
        <v>425</v>
      </c>
      <c r="D16" s="14">
        <v>1208.0</v>
      </c>
      <c r="E16" s="16"/>
      <c r="F16" s="14">
        <f t="shared" si="1"/>
        <v>1208</v>
      </c>
      <c r="G16" s="19">
        <f t="shared" si="2"/>
        <v>17329</v>
      </c>
    </row>
    <row r="17">
      <c r="A17" s="12">
        <v>14.0</v>
      </c>
      <c r="B17" s="12" t="s">
        <v>522</v>
      </c>
      <c r="C17" s="13" t="s">
        <v>523</v>
      </c>
      <c r="D17" s="14">
        <v>5696.0</v>
      </c>
      <c r="E17" s="16"/>
      <c r="F17" s="14">
        <f t="shared" si="1"/>
        <v>5696</v>
      </c>
      <c r="G17" s="19">
        <f t="shared" si="2"/>
        <v>23025</v>
      </c>
    </row>
    <row r="18">
      <c r="A18" s="24"/>
      <c r="B18" s="24"/>
      <c r="C18" s="26"/>
      <c r="D18" s="27">
        <v>15.0</v>
      </c>
      <c r="E18" s="28"/>
      <c r="F18" s="27">
        <f>SUM(F4:F17)</f>
        <v>23025</v>
      </c>
      <c r="G18" s="29">
        <f>G17</f>
        <v>23025</v>
      </c>
    </row>
    <row r="19">
      <c r="C19" s="30"/>
      <c r="G19" s="30"/>
    </row>
    <row r="20">
      <c r="A20" s="4" t="s">
        <v>529</v>
      </c>
      <c r="B20" s="5"/>
      <c r="C20" s="5"/>
      <c r="D20" s="5"/>
      <c r="E20" s="5"/>
      <c r="F20" s="5"/>
      <c r="G20" s="6"/>
    </row>
    <row r="21">
      <c r="A21" s="7"/>
      <c r="B21" s="8"/>
      <c r="C21" s="8"/>
      <c r="D21" s="8"/>
      <c r="E21" s="8"/>
      <c r="F21" s="8"/>
      <c r="G21" s="9"/>
    </row>
    <row r="22">
      <c r="A22" s="10"/>
      <c r="B22" s="10" t="s">
        <v>6</v>
      </c>
      <c r="C22" s="11" t="s">
        <v>7</v>
      </c>
      <c r="D22" s="10" t="s">
        <v>8</v>
      </c>
      <c r="E22" s="10" t="s">
        <v>9</v>
      </c>
      <c r="F22" s="10" t="s">
        <v>10</v>
      </c>
      <c r="G22" s="11" t="s">
        <v>11</v>
      </c>
    </row>
    <row r="23">
      <c r="A23" s="12">
        <v>1.0</v>
      </c>
      <c r="B23" s="12" t="s">
        <v>148</v>
      </c>
      <c r="C23" s="13" t="s">
        <v>531</v>
      </c>
      <c r="D23" s="14">
        <v>1652.0</v>
      </c>
      <c r="E23" s="16"/>
      <c r="F23" s="14">
        <f t="shared" ref="F23:F40" si="3">SUM(D23:E23)</f>
        <v>1652</v>
      </c>
      <c r="G23" s="19">
        <f>F23</f>
        <v>1652</v>
      </c>
    </row>
    <row r="24">
      <c r="A24" s="12">
        <v>2.0</v>
      </c>
      <c r="B24" s="12" t="s">
        <v>151</v>
      </c>
      <c r="C24" s="13" t="s">
        <v>534</v>
      </c>
      <c r="D24" s="14">
        <v>1735.0</v>
      </c>
      <c r="E24" s="16"/>
      <c r="F24" s="14">
        <f t="shared" si="3"/>
        <v>1735</v>
      </c>
      <c r="G24" s="19">
        <f t="shared" ref="G24:G40" si="4">G23+F24</f>
        <v>3387</v>
      </c>
    </row>
    <row r="25">
      <c r="A25" s="12">
        <v>3.0</v>
      </c>
      <c r="B25" s="12" t="s">
        <v>153</v>
      </c>
      <c r="C25" s="13" t="s">
        <v>537</v>
      </c>
      <c r="D25" s="14">
        <v>3116.0</v>
      </c>
      <c r="E25" s="14">
        <v>3272.0</v>
      </c>
      <c r="F25" s="14">
        <f t="shared" si="3"/>
        <v>6388</v>
      </c>
      <c r="G25" s="19">
        <f t="shared" si="4"/>
        <v>9775</v>
      </c>
    </row>
    <row r="26">
      <c r="A26" s="12">
        <v>4.0</v>
      </c>
      <c r="B26" s="12" t="s">
        <v>148</v>
      </c>
      <c r="C26" s="13" t="s">
        <v>531</v>
      </c>
      <c r="D26" s="14">
        <v>1913.0</v>
      </c>
      <c r="E26" s="16"/>
      <c r="F26" s="14">
        <f t="shared" si="3"/>
        <v>1913</v>
      </c>
      <c r="G26" s="19">
        <f t="shared" si="4"/>
        <v>11688</v>
      </c>
    </row>
    <row r="27">
      <c r="A27" s="12">
        <v>5.0</v>
      </c>
      <c r="B27" s="12" t="s">
        <v>99</v>
      </c>
      <c r="C27" s="13" t="s">
        <v>494</v>
      </c>
      <c r="D27" s="14">
        <v>2008.0</v>
      </c>
      <c r="E27" s="16"/>
      <c r="F27" s="14">
        <f t="shared" si="3"/>
        <v>2008</v>
      </c>
      <c r="G27" s="19">
        <f t="shared" si="4"/>
        <v>13696</v>
      </c>
    </row>
    <row r="28">
      <c r="A28" s="12">
        <v>6.0</v>
      </c>
      <c r="B28" s="12" t="s">
        <v>148</v>
      </c>
      <c r="C28" s="13" t="s">
        <v>531</v>
      </c>
      <c r="D28" s="14">
        <v>2109.0</v>
      </c>
      <c r="E28" s="16"/>
      <c r="F28" s="14">
        <f t="shared" si="3"/>
        <v>2109</v>
      </c>
      <c r="G28" s="19">
        <f t="shared" si="4"/>
        <v>15805</v>
      </c>
    </row>
    <row r="29">
      <c r="A29" s="12">
        <v>7.0</v>
      </c>
      <c r="B29" s="12" t="s">
        <v>160</v>
      </c>
      <c r="C29" s="13" t="s">
        <v>540</v>
      </c>
      <c r="D29" s="14">
        <v>2214.0</v>
      </c>
      <c r="E29" s="16"/>
      <c r="F29" s="14">
        <f t="shared" si="3"/>
        <v>2214</v>
      </c>
      <c r="G29" s="19">
        <f t="shared" si="4"/>
        <v>18019</v>
      </c>
    </row>
    <row r="30">
      <c r="A30" s="12">
        <v>8.0</v>
      </c>
      <c r="B30" s="12" t="s">
        <v>148</v>
      </c>
      <c r="C30" s="13" t="s">
        <v>531</v>
      </c>
      <c r="D30" s="14">
        <v>2325.0</v>
      </c>
      <c r="E30" s="16"/>
      <c r="F30" s="14">
        <f t="shared" si="3"/>
        <v>2325</v>
      </c>
      <c r="G30" s="19">
        <f t="shared" si="4"/>
        <v>20344</v>
      </c>
    </row>
    <row r="31">
      <c r="A31" s="12">
        <v>9.0</v>
      </c>
      <c r="B31" s="12" t="s">
        <v>99</v>
      </c>
      <c r="C31" s="13" t="s">
        <v>501</v>
      </c>
      <c r="D31" s="14">
        <v>2441.0</v>
      </c>
      <c r="E31" s="16"/>
      <c r="F31" s="14">
        <f t="shared" si="3"/>
        <v>2441</v>
      </c>
      <c r="G31" s="19">
        <f t="shared" si="4"/>
        <v>22785</v>
      </c>
    </row>
    <row r="32">
      <c r="A32" s="12">
        <v>10.0</v>
      </c>
      <c r="B32" s="12" t="s">
        <v>148</v>
      </c>
      <c r="C32" s="13" t="s">
        <v>531</v>
      </c>
      <c r="D32" s="14">
        <v>2563.0</v>
      </c>
      <c r="E32" s="16"/>
      <c r="F32" s="14">
        <f t="shared" si="3"/>
        <v>2563</v>
      </c>
      <c r="G32" s="19">
        <f t="shared" si="4"/>
        <v>25348</v>
      </c>
    </row>
    <row r="33">
      <c r="A33" s="12">
        <v>11.0</v>
      </c>
      <c r="B33" s="12" t="s">
        <v>151</v>
      </c>
      <c r="C33" s="13" t="s">
        <v>534</v>
      </c>
      <c r="D33" s="14">
        <v>1913.0</v>
      </c>
      <c r="E33" s="16"/>
      <c r="F33" s="14">
        <f t="shared" si="3"/>
        <v>1913</v>
      </c>
      <c r="G33" s="19">
        <f t="shared" si="4"/>
        <v>27261</v>
      </c>
    </row>
    <row r="34">
      <c r="A34" s="12">
        <v>12.0</v>
      </c>
      <c r="B34" s="12" t="s">
        <v>93</v>
      </c>
      <c r="C34" s="13" t="s">
        <v>490</v>
      </c>
      <c r="D34" s="14">
        <v>2008.0</v>
      </c>
      <c r="E34" s="16"/>
      <c r="F34" s="14">
        <f t="shared" si="3"/>
        <v>2008</v>
      </c>
      <c r="G34" s="19">
        <f t="shared" si="4"/>
        <v>29269</v>
      </c>
    </row>
    <row r="35">
      <c r="A35" s="12">
        <v>13.0</v>
      </c>
      <c r="B35" s="12" t="s">
        <v>151</v>
      </c>
      <c r="C35" s="13" t="s">
        <v>534</v>
      </c>
      <c r="D35" s="14">
        <v>2109.0</v>
      </c>
      <c r="E35" s="16"/>
      <c r="F35" s="14">
        <f t="shared" si="3"/>
        <v>2109</v>
      </c>
      <c r="G35" s="19">
        <f t="shared" si="4"/>
        <v>31378</v>
      </c>
    </row>
    <row r="36">
      <c r="A36" s="12">
        <v>14.0</v>
      </c>
      <c r="B36" s="12" t="s">
        <v>157</v>
      </c>
      <c r="C36" s="13" t="s">
        <v>545</v>
      </c>
      <c r="D36" s="14">
        <v>2214.0</v>
      </c>
      <c r="E36" s="16"/>
      <c r="F36" s="14">
        <f t="shared" si="3"/>
        <v>2214</v>
      </c>
      <c r="G36" s="19">
        <f t="shared" si="4"/>
        <v>33592</v>
      </c>
    </row>
    <row r="37">
      <c r="A37" s="12">
        <v>15.0</v>
      </c>
      <c r="B37" s="12" t="s">
        <v>151</v>
      </c>
      <c r="C37" s="13" t="s">
        <v>534</v>
      </c>
      <c r="D37" s="14">
        <v>2325.0</v>
      </c>
      <c r="E37" s="16"/>
      <c r="F37" s="14">
        <f t="shared" si="3"/>
        <v>2325</v>
      </c>
      <c r="G37" s="19">
        <f t="shared" si="4"/>
        <v>35917</v>
      </c>
    </row>
    <row r="38">
      <c r="A38" s="12">
        <v>16.0</v>
      </c>
      <c r="B38" s="12" t="s">
        <v>93</v>
      </c>
      <c r="C38" s="13" t="s">
        <v>491</v>
      </c>
      <c r="D38" s="14">
        <v>2441.0</v>
      </c>
      <c r="E38" s="16"/>
      <c r="F38" s="14">
        <f t="shared" si="3"/>
        <v>2441</v>
      </c>
      <c r="G38" s="19">
        <f t="shared" si="4"/>
        <v>38358</v>
      </c>
    </row>
    <row r="39">
      <c r="A39" s="12">
        <v>17.0</v>
      </c>
      <c r="B39" s="12" t="s">
        <v>151</v>
      </c>
      <c r="C39" s="13" t="s">
        <v>534</v>
      </c>
      <c r="D39" s="14">
        <v>2563.0</v>
      </c>
      <c r="E39" s="16"/>
      <c r="F39" s="14">
        <f t="shared" si="3"/>
        <v>2563</v>
      </c>
      <c r="G39" s="19">
        <f t="shared" si="4"/>
        <v>40921</v>
      </c>
    </row>
    <row r="40">
      <c r="A40" s="12">
        <v>18.0</v>
      </c>
      <c r="B40" s="12" t="s">
        <v>547</v>
      </c>
      <c r="C40" s="13" t="s">
        <v>183</v>
      </c>
      <c r="D40" s="14">
        <v>5127.0</v>
      </c>
      <c r="E40" s="16"/>
      <c r="F40" s="14">
        <f t="shared" si="3"/>
        <v>5127</v>
      </c>
      <c r="G40" s="19">
        <f t="shared" si="4"/>
        <v>46048</v>
      </c>
    </row>
    <row r="41">
      <c r="A41" s="24"/>
      <c r="B41" s="24"/>
      <c r="C41" s="26"/>
      <c r="D41" s="27">
        <v>19.0</v>
      </c>
      <c r="E41" s="28"/>
      <c r="F41" s="27">
        <f>SUM(F23:F40)</f>
        <v>46048</v>
      </c>
      <c r="G41" s="29">
        <f>G40</f>
        <v>46048</v>
      </c>
    </row>
    <row r="42">
      <c r="C42" s="30"/>
      <c r="G42" s="30"/>
    </row>
    <row r="43">
      <c r="A43" s="4" t="s">
        <v>552</v>
      </c>
      <c r="B43" s="5"/>
      <c r="C43" s="5"/>
      <c r="D43" s="5"/>
      <c r="E43" s="5"/>
      <c r="F43" s="5"/>
      <c r="G43" s="6"/>
    </row>
    <row r="44">
      <c r="A44" s="7"/>
      <c r="B44" s="8"/>
      <c r="C44" s="8"/>
      <c r="D44" s="8"/>
      <c r="E44" s="8"/>
      <c r="F44" s="8"/>
      <c r="G44" s="9"/>
    </row>
    <row r="45">
      <c r="A45" s="10"/>
      <c r="B45" s="10" t="s">
        <v>6</v>
      </c>
      <c r="C45" s="11" t="s">
        <v>7</v>
      </c>
      <c r="D45" s="10" t="s">
        <v>8</v>
      </c>
      <c r="E45" s="10" t="s">
        <v>9</v>
      </c>
      <c r="F45" s="10" t="s">
        <v>10</v>
      </c>
      <c r="G45" s="11" t="s">
        <v>11</v>
      </c>
    </row>
    <row r="46">
      <c r="A46" s="12">
        <v>1.0</v>
      </c>
      <c r="B46" s="12" t="s">
        <v>67</v>
      </c>
      <c r="C46" s="13" t="s">
        <v>553</v>
      </c>
      <c r="D46" s="14">
        <v>1796.0</v>
      </c>
      <c r="E46" s="16"/>
      <c r="F46" s="14">
        <f t="shared" ref="F46:F68" si="5">SUM(D46:E46)</f>
        <v>1796</v>
      </c>
      <c r="G46" s="19">
        <f>F46</f>
        <v>1796</v>
      </c>
    </row>
    <row r="47">
      <c r="A47" s="12">
        <v>2.0</v>
      </c>
      <c r="B47" s="12" t="s">
        <v>177</v>
      </c>
      <c r="C47" s="13" t="s">
        <v>190</v>
      </c>
      <c r="D47" s="14">
        <v>1886.0</v>
      </c>
      <c r="E47" s="16"/>
      <c r="F47" s="14">
        <f t="shared" si="5"/>
        <v>1886</v>
      </c>
      <c r="G47" s="19">
        <f t="shared" ref="G47:G68" si="6">G46+F47</f>
        <v>3682</v>
      </c>
    </row>
    <row r="48">
      <c r="A48" s="12">
        <v>3.0</v>
      </c>
      <c r="B48" s="12" t="s">
        <v>67</v>
      </c>
      <c r="C48" s="13" t="s">
        <v>553</v>
      </c>
      <c r="D48" s="14">
        <v>1980.0</v>
      </c>
      <c r="E48" s="16"/>
      <c r="F48" s="14">
        <f t="shared" si="5"/>
        <v>1980</v>
      </c>
      <c r="G48" s="19">
        <f t="shared" si="6"/>
        <v>5662</v>
      </c>
    </row>
    <row r="49">
      <c r="A49" s="12">
        <v>4.0</v>
      </c>
      <c r="B49" s="12" t="s">
        <v>170</v>
      </c>
      <c r="C49" s="13" t="s">
        <v>560</v>
      </c>
      <c r="D49" s="14">
        <v>1796.0</v>
      </c>
      <c r="E49" s="16"/>
      <c r="F49" s="14">
        <f t="shared" si="5"/>
        <v>1796</v>
      </c>
      <c r="G49" s="19">
        <f t="shared" si="6"/>
        <v>7458</v>
      </c>
    </row>
    <row r="50">
      <c r="A50" s="12">
        <v>5.0</v>
      </c>
      <c r="B50" s="12" t="s">
        <v>173</v>
      </c>
      <c r="C50" s="13" t="s">
        <v>195</v>
      </c>
      <c r="D50" s="14">
        <v>1886.0</v>
      </c>
      <c r="E50" s="16"/>
      <c r="F50" s="14">
        <f t="shared" si="5"/>
        <v>1886</v>
      </c>
      <c r="G50" s="19">
        <f t="shared" si="6"/>
        <v>9344</v>
      </c>
    </row>
    <row r="51">
      <c r="A51" s="12">
        <v>6.0</v>
      </c>
      <c r="B51" s="12" t="s">
        <v>170</v>
      </c>
      <c r="C51" s="13" t="s">
        <v>562</v>
      </c>
      <c r="D51" s="14">
        <v>1980.0</v>
      </c>
      <c r="E51" s="16"/>
      <c r="F51" s="14">
        <f t="shared" si="5"/>
        <v>1980</v>
      </c>
      <c r="G51" s="19">
        <f t="shared" si="6"/>
        <v>11324</v>
      </c>
    </row>
    <row r="52">
      <c r="A52" s="12">
        <v>7.0</v>
      </c>
      <c r="B52" s="12" t="s">
        <v>180</v>
      </c>
      <c r="C52" s="13" t="s">
        <v>564</v>
      </c>
      <c r="D52" s="14">
        <v>3556.0</v>
      </c>
      <c r="E52" s="14">
        <v>3734.0</v>
      </c>
      <c r="F52" s="14">
        <f t="shared" si="5"/>
        <v>7290</v>
      </c>
      <c r="G52" s="19">
        <f t="shared" si="6"/>
        <v>18614</v>
      </c>
    </row>
    <row r="53">
      <c r="A53" s="12">
        <v>8.0</v>
      </c>
      <c r="B53" s="12" t="s">
        <v>177</v>
      </c>
      <c r="C53" s="13" t="s">
        <v>190</v>
      </c>
      <c r="D53" s="14">
        <v>2183.0</v>
      </c>
      <c r="E53" s="16"/>
      <c r="F53" s="14">
        <f t="shared" si="5"/>
        <v>2183</v>
      </c>
      <c r="G53" s="19">
        <f t="shared" si="6"/>
        <v>20797</v>
      </c>
    </row>
    <row r="54">
      <c r="A54" s="12">
        <v>9.0</v>
      </c>
      <c r="B54" s="12" t="s">
        <v>67</v>
      </c>
      <c r="C54" s="13" t="s">
        <v>553</v>
      </c>
      <c r="D54" s="14">
        <v>2292.0</v>
      </c>
      <c r="E54" s="16"/>
      <c r="F54" s="14">
        <f t="shared" si="5"/>
        <v>2292</v>
      </c>
      <c r="G54" s="19">
        <f t="shared" si="6"/>
        <v>23089</v>
      </c>
    </row>
    <row r="55">
      <c r="A55" s="12">
        <v>10.0</v>
      </c>
      <c r="B55" s="12" t="s">
        <v>177</v>
      </c>
      <c r="C55" s="13" t="s">
        <v>190</v>
      </c>
      <c r="D55" s="14">
        <v>2407.0</v>
      </c>
      <c r="E55" s="16"/>
      <c r="F55" s="14">
        <f t="shared" si="5"/>
        <v>2407</v>
      </c>
      <c r="G55" s="19">
        <f t="shared" si="6"/>
        <v>25496</v>
      </c>
    </row>
    <row r="56">
      <c r="A56" s="12">
        <v>11.0</v>
      </c>
      <c r="B56" s="12" t="s">
        <v>67</v>
      </c>
      <c r="C56" s="13" t="s">
        <v>553</v>
      </c>
      <c r="D56" s="14">
        <v>2527.0</v>
      </c>
      <c r="E56" s="16"/>
      <c r="F56" s="14">
        <f t="shared" si="5"/>
        <v>2527</v>
      </c>
      <c r="G56" s="19">
        <f t="shared" si="6"/>
        <v>28023</v>
      </c>
    </row>
    <row r="57">
      <c r="A57" s="12">
        <v>12.0</v>
      </c>
      <c r="B57" s="12" t="s">
        <v>177</v>
      </c>
      <c r="C57" s="13" t="s">
        <v>190</v>
      </c>
      <c r="D57" s="14">
        <v>2653.0</v>
      </c>
      <c r="E57" s="16"/>
      <c r="F57" s="14">
        <f t="shared" si="5"/>
        <v>2653</v>
      </c>
      <c r="G57" s="19">
        <f t="shared" si="6"/>
        <v>30676</v>
      </c>
    </row>
    <row r="58">
      <c r="A58" s="12">
        <v>13.0</v>
      </c>
      <c r="B58" s="12" t="s">
        <v>67</v>
      </c>
      <c r="C58" s="13" t="s">
        <v>553</v>
      </c>
      <c r="D58" s="14">
        <v>2786.0</v>
      </c>
      <c r="E58" s="16"/>
      <c r="F58" s="14">
        <f t="shared" si="5"/>
        <v>2786</v>
      </c>
      <c r="G58" s="19">
        <f t="shared" si="6"/>
        <v>33462</v>
      </c>
    </row>
    <row r="59">
      <c r="A59" s="12">
        <v>14.0</v>
      </c>
      <c r="B59" s="12" t="s">
        <v>67</v>
      </c>
      <c r="C59" s="13" t="s">
        <v>553</v>
      </c>
      <c r="D59" s="14">
        <v>2292.0</v>
      </c>
      <c r="E59" s="16"/>
      <c r="F59" s="14">
        <f t="shared" si="5"/>
        <v>2292</v>
      </c>
      <c r="G59" s="19">
        <f t="shared" si="6"/>
        <v>35754</v>
      </c>
    </row>
    <row r="60">
      <c r="A60" s="12">
        <v>15.0</v>
      </c>
      <c r="B60" s="12" t="s">
        <v>173</v>
      </c>
      <c r="C60" s="13" t="s">
        <v>195</v>
      </c>
      <c r="D60" s="14">
        <v>2183.0</v>
      </c>
      <c r="E60" s="16"/>
      <c r="F60" s="14">
        <f t="shared" si="5"/>
        <v>2183</v>
      </c>
      <c r="G60" s="19">
        <f t="shared" si="6"/>
        <v>37937</v>
      </c>
    </row>
    <row r="61">
      <c r="A61" s="12">
        <v>16.0</v>
      </c>
      <c r="B61" s="12" t="s">
        <v>170</v>
      </c>
      <c r="C61" s="13" t="s">
        <v>562</v>
      </c>
      <c r="D61" s="14">
        <v>2292.0</v>
      </c>
      <c r="E61" s="16"/>
      <c r="F61" s="14">
        <f t="shared" si="5"/>
        <v>2292</v>
      </c>
      <c r="G61" s="19">
        <f t="shared" si="6"/>
        <v>40229</v>
      </c>
    </row>
    <row r="62">
      <c r="A62" s="12">
        <v>17.0</v>
      </c>
      <c r="B62" s="12" t="s">
        <v>569</v>
      </c>
      <c r="C62" s="13" t="s">
        <v>570</v>
      </c>
      <c r="D62" s="14">
        <v>5926.0</v>
      </c>
      <c r="E62" s="16"/>
      <c r="F62" s="14">
        <f t="shared" si="5"/>
        <v>5926</v>
      </c>
      <c r="G62" s="19">
        <f t="shared" si="6"/>
        <v>46155</v>
      </c>
    </row>
    <row r="63">
      <c r="A63" s="12">
        <v>18.0</v>
      </c>
      <c r="B63" s="12" t="s">
        <v>170</v>
      </c>
      <c r="C63" s="13" t="s">
        <v>562</v>
      </c>
      <c r="D63" s="14">
        <v>2292.0</v>
      </c>
      <c r="E63" s="16"/>
      <c r="F63" s="14">
        <f t="shared" si="5"/>
        <v>2292</v>
      </c>
      <c r="G63" s="19">
        <f t="shared" si="6"/>
        <v>48447</v>
      </c>
    </row>
    <row r="64">
      <c r="A64" s="12">
        <v>19.0</v>
      </c>
      <c r="B64" s="12" t="s">
        <v>173</v>
      </c>
      <c r="C64" s="13" t="s">
        <v>195</v>
      </c>
      <c r="D64" s="14">
        <v>2407.0</v>
      </c>
      <c r="E64" s="16"/>
      <c r="F64" s="14">
        <f t="shared" si="5"/>
        <v>2407</v>
      </c>
      <c r="G64" s="19">
        <f t="shared" si="6"/>
        <v>50854</v>
      </c>
    </row>
    <row r="65">
      <c r="A65" s="12">
        <v>20.0</v>
      </c>
      <c r="B65" s="12" t="s">
        <v>170</v>
      </c>
      <c r="C65" s="13" t="s">
        <v>562</v>
      </c>
      <c r="D65" s="14">
        <v>2527.0</v>
      </c>
      <c r="E65" s="16"/>
      <c r="F65" s="14">
        <f t="shared" si="5"/>
        <v>2527</v>
      </c>
      <c r="G65" s="19">
        <f t="shared" si="6"/>
        <v>53381</v>
      </c>
    </row>
    <row r="66">
      <c r="A66" s="12">
        <v>21.0</v>
      </c>
      <c r="B66" s="12" t="s">
        <v>173</v>
      </c>
      <c r="C66" s="13" t="s">
        <v>195</v>
      </c>
      <c r="D66" s="14">
        <v>2653.0</v>
      </c>
      <c r="E66" s="16"/>
      <c r="F66" s="14">
        <f t="shared" si="5"/>
        <v>2653</v>
      </c>
      <c r="G66" s="19">
        <f t="shared" si="6"/>
        <v>56034</v>
      </c>
    </row>
    <row r="67">
      <c r="A67" s="12">
        <v>22.0</v>
      </c>
      <c r="B67" s="12" t="s">
        <v>170</v>
      </c>
      <c r="C67" s="13" t="s">
        <v>562</v>
      </c>
      <c r="D67" s="14">
        <v>2786.0</v>
      </c>
      <c r="E67" s="16"/>
      <c r="F67" s="14">
        <f t="shared" si="5"/>
        <v>2786</v>
      </c>
      <c r="G67" s="19">
        <f t="shared" si="6"/>
        <v>58820</v>
      </c>
    </row>
    <row r="68">
      <c r="A68" s="12">
        <v>23.0</v>
      </c>
      <c r="B68" s="12" t="s">
        <v>180</v>
      </c>
      <c r="C68" s="13" t="s">
        <v>424</v>
      </c>
      <c r="D68" s="14">
        <v>5003.0</v>
      </c>
      <c r="E68" s="14">
        <v>5253.0</v>
      </c>
      <c r="F68" s="14">
        <f t="shared" si="5"/>
        <v>10256</v>
      </c>
      <c r="G68" s="19">
        <f t="shared" si="6"/>
        <v>69076</v>
      </c>
    </row>
    <row r="69">
      <c r="A69" s="24"/>
      <c r="B69" s="24"/>
      <c r="C69" s="26"/>
      <c r="D69" s="27">
        <v>25.0</v>
      </c>
      <c r="E69" s="28"/>
      <c r="F69" s="27">
        <f>SUM(F46:F68)</f>
        <v>69076</v>
      </c>
      <c r="G69" s="29">
        <f>G68</f>
        <v>69076</v>
      </c>
    </row>
    <row r="70">
      <c r="C70" s="30"/>
      <c r="G70" s="30"/>
    </row>
    <row r="71">
      <c r="A71" s="4" t="s">
        <v>574</v>
      </c>
      <c r="B71" s="5"/>
      <c r="C71" s="5"/>
      <c r="D71" s="5"/>
      <c r="E71" s="5"/>
      <c r="F71" s="5"/>
      <c r="G71" s="6"/>
    </row>
    <row r="72">
      <c r="A72" s="7"/>
      <c r="B72" s="8"/>
      <c r="C72" s="8"/>
      <c r="D72" s="8"/>
      <c r="E72" s="8"/>
      <c r="F72" s="8"/>
      <c r="G72" s="9"/>
    </row>
    <row r="73">
      <c r="A73" s="10"/>
      <c r="B73" s="10" t="s">
        <v>6</v>
      </c>
      <c r="C73" s="11" t="s">
        <v>7</v>
      </c>
      <c r="D73" s="10" t="s">
        <v>8</v>
      </c>
      <c r="E73" s="10" t="s">
        <v>9</v>
      </c>
      <c r="F73" s="10" t="s">
        <v>10</v>
      </c>
      <c r="G73" s="11" t="s">
        <v>11</v>
      </c>
    </row>
    <row r="74">
      <c r="A74" s="12">
        <v>1.0</v>
      </c>
      <c r="B74" s="12" t="s">
        <v>226</v>
      </c>
      <c r="C74" s="13" t="s">
        <v>576</v>
      </c>
      <c r="D74" s="14">
        <v>2360.0</v>
      </c>
      <c r="E74" s="16"/>
      <c r="F74" s="14">
        <f t="shared" ref="F74:F101" si="7">SUM(D74:E74)</f>
        <v>2360</v>
      </c>
      <c r="G74" s="19">
        <f>F74</f>
        <v>2360</v>
      </c>
    </row>
    <row r="75">
      <c r="A75" s="12">
        <v>2.0</v>
      </c>
      <c r="B75" s="12" t="s">
        <v>234</v>
      </c>
      <c r="C75" s="13" t="s">
        <v>349</v>
      </c>
      <c r="D75" s="14">
        <v>2478.0</v>
      </c>
      <c r="E75" s="16"/>
      <c r="F75" s="14">
        <f t="shared" si="7"/>
        <v>2478</v>
      </c>
      <c r="G75" s="19">
        <f t="shared" ref="G75:G101" si="8">G74+F75</f>
        <v>4838</v>
      </c>
    </row>
    <row r="76">
      <c r="A76" s="12">
        <v>3.0</v>
      </c>
      <c r="B76" s="12" t="s">
        <v>234</v>
      </c>
      <c r="C76" s="13" t="s">
        <v>349</v>
      </c>
      <c r="D76" s="14">
        <v>2602.0</v>
      </c>
      <c r="E76" s="16"/>
      <c r="F76" s="14">
        <f t="shared" si="7"/>
        <v>2602</v>
      </c>
      <c r="G76" s="19">
        <f t="shared" si="8"/>
        <v>7440</v>
      </c>
    </row>
    <row r="77">
      <c r="A77" s="12">
        <v>4.0</v>
      </c>
      <c r="B77" s="12" t="s">
        <v>234</v>
      </c>
      <c r="C77" s="13" t="s">
        <v>580</v>
      </c>
      <c r="D77" s="14">
        <v>2732.0</v>
      </c>
      <c r="E77" s="16"/>
      <c r="F77" s="14">
        <f t="shared" si="7"/>
        <v>2732</v>
      </c>
      <c r="G77" s="19">
        <f t="shared" si="8"/>
        <v>10172</v>
      </c>
    </row>
    <row r="78">
      <c r="A78" s="12">
        <v>5.0</v>
      </c>
      <c r="B78" s="12" t="s">
        <v>237</v>
      </c>
      <c r="C78" s="13" t="s">
        <v>352</v>
      </c>
      <c r="D78" s="14">
        <v>2478.0</v>
      </c>
      <c r="E78" s="16"/>
      <c r="F78" s="14">
        <f t="shared" si="7"/>
        <v>2478</v>
      </c>
      <c r="G78" s="19">
        <f t="shared" si="8"/>
        <v>12650</v>
      </c>
    </row>
    <row r="79">
      <c r="A79" s="12">
        <v>6.0</v>
      </c>
      <c r="B79" s="12" t="s">
        <v>237</v>
      </c>
      <c r="C79" s="13" t="s">
        <v>352</v>
      </c>
      <c r="D79" s="14">
        <v>2602.0</v>
      </c>
      <c r="E79" s="16"/>
      <c r="F79" s="14">
        <f t="shared" si="7"/>
        <v>2602</v>
      </c>
      <c r="G79" s="19">
        <f t="shared" si="8"/>
        <v>15252</v>
      </c>
    </row>
    <row r="80">
      <c r="A80" s="12">
        <v>7.0</v>
      </c>
      <c r="B80" s="12" t="s">
        <v>237</v>
      </c>
      <c r="C80" s="13" t="s">
        <v>582</v>
      </c>
      <c r="D80" s="14">
        <v>2732.0</v>
      </c>
      <c r="E80" s="16"/>
      <c r="F80" s="14">
        <f t="shared" si="7"/>
        <v>2732</v>
      </c>
      <c r="G80" s="19">
        <f t="shared" si="8"/>
        <v>17984</v>
      </c>
    </row>
    <row r="81">
      <c r="A81" s="12">
        <v>8.0</v>
      </c>
      <c r="B81" s="12" t="s">
        <v>242</v>
      </c>
      <c r="C81" s="13" t="s">
        <v>583</v>
      </c>
      <c r="D81" s="14">
        <v>2869.0</v>
      </c>
      <c r="E81" s="16"/>
      <c r="F81" s="14">
        <f t="shared" si="7"/>
        <v>2869</v>
      </c>
      <c r="G81" s="19">
        <f t="shared" si="8"/>
        <v>20853</v>
      </c>
    </row>
    <row r="82">
      <c r="A82" s="12">
        <v>9.0</v>
      </c>
      <c r="B82" s="12" t="s">
        <v>244</v>
      </c>
      <c r="C82" s="13" t="s">
        <v>584</v>
      </c>
      <c r="D82" s="14">
        <v>3844.0</v>
      </c>
      <c r="E82" s="14">
        <v>4036.0</v>
      </c>
      <c r="F82" s="14">
        <f t="shared" si="7"/>
        <v>7880</v>
      </c>
      <c r="G82" s="19">
        <f t="shared" si="8"/>
        <v>28733</v>
      </c>
    </row>
    <row r="83">
      <c r="A83" s="12">
        <v>10.0</v>
      </c>
      <c r="B83" s="12" t="s">
        <v>214</v>
      </c>
      <c r="C83" s="13" t="s">
        <v>585</v>
      </c>
      <c r="D83" s="14">
        <v>2360.0</v>
      </c>
      <c r="E83" s="16"/>
      <c r="F83" s="14">
        <f t="shared" si="7"/>
        <v>2360</v>
      </c>
      <c r="G83" s="19">
        <f t="shared" si="8"/>
        <v>31093</v>
      </c>
    </row>
    <row r="84">
      <c r="A84" s="12">
        <v>11.0</v>
      </c>
      <c r="B84" s="12" t="s">
        <v>157</v>
      </c>
      <c r="C84" s="13" t="s">
        <v>356</v>
      </c>
      <c r="D84" s="14">
        <v>2478.0</v>
      </c>
      <c r="E84" s="16"/>
      <c r="F84" s="14">
        <f t="shared" si="7"/>
        <v>2478</v>
      </c>
      <c r="G84" s="19">
        <f t="shared" si="8"/>
        <v>33571</v>
      </c>
    </row>
    <row r="85">
      <c r="A85" s="12">
        <v>12.0</v>
      </c>
      <c r="B85" s="12" t="s">
        <v>157</v>
      </c>
      <c r="C85" s="13" t="s">
        <v>356</v>
      </c>
      <c r="D85" s="14">
        <v>2602.0</v>
      </c>
      <c r="E85" s="16"/>
      <c r="F85" s="14">
        <f t="shared" si="7"/>
        <v>2602</v>
      </c>
      <c r="G85" s="19">
        <f t="shared" si="8"/>
        <v>36173</v>
      </c>
    </row>
    <row r="86">
      <c r="A86" s="12">
        <v>13.0</v>
      </c>
      <c r="B86" s="12" t="s">
        <v>157</v>
      </c>
      <c r="C86" s="13" t="s">
        <v>587</v>
      </c>
      <c r="D86" s="14">
        <v>2732.0</v>
      </c>
      <c r="E86" s="16"/>
      <c r="F86" s="14">
        <f t="shared" si="7"/>
        <v>2732</v>
      </c>
      <c r="G86" s="19">
        <f t="shared" si="8"/>
        <v>38905</v>
      </c>
    </row>
    <row r="87">
      <c r="A87" s="12">
        <v>14.0</v>
      </c>
      <c r="B87" s="12" t="s">
        <v>218</v>
      </c>
      <c r="C87" s="13" t="s">
        <v>359</v>
      </c>
      <c r="D87" s="14">
        <v>2478.0</v>
      </c>
      <c r="E87" s="16"/>
      <c r="F87" s="14">
        <f t="shared" si="7"/>
        <v>2478</v>
      </c>
      <c r="G87" s="19">
        <f t="shared" si="8"/>
        <v>41383</v>
      </c>
    </row>
    <row r="88">
      <c r="A88" s="12">
        <v>15.0</v>
      </c>
      <c r="B88" s="12" t="s">
        <v>218</v>
      </c>
      <c r="C88" s="13" t="s">
        <v>359</v>
      </c>
      <c r="D88" s="14">
        <v>2602.0</v>
      </c>
      <c r="E88" s="16"/>
      <c r="F88" s="14">
        <f t="shared" si="7"/>
        <v>2602</v>
      </c>
      <c r="G88" s="19">
        <f t="shared" si="8"/>
        <v>43985</v>
      </c>
    </row>
    <row r="89">
      <c r="A89" s="12">
        <v>16.0</v>
      </c>
      <c r="B89" s="12" t="s">
        <v>218</v>
      </c>
      <c r="C89" s="13" t="s">
        <v>589</v>
      </c>
      <c r="D89" s="14">
        <v>2732.0</v>
      </c>
      <c r="E89" s="16"/>
      <c r="F89" s="14">
        <f t="shared" si="7"/>
        <v>2732</v>
      </c>
      <c r="G89" s="19">
        <f t="shared" si="8"/>
        <v>46717</v>
      </c>
    </row>
    <row r="90">
      <c r="A90" s="12">
        <v>17.0</v>
      </c>
      <c r="B90" s="12" t="s">
        <v>224</v>
      </c>
      <c r="C90" s="13" t="s">
        <v>592</v>
      </c>
      <c r="D90" s="14">
        <v>2869.0</v>
      </c>
      <c r="E90" s="16"/>
      <c r="F90" s="14">
        <f t="shared" si="7"/>
        <v>2869</v>
      </c>
      <c r="G90" s="19">
        <f t="shared" si="8"/>
        <v>49586</v>
      </c>
    </row>
    <row r="91">
      <c r="A91" s="12">
        <v>18.0</v>
      </c>
      <c r="B91" s="12" t="s">
        <v>230</v>
      </c>
      <c r="C91" s="13" t="s">
        <v>593</v>
      </c>
      <c r="D91" s="14">
        <v>3844.0</v>
      </c>
      <c r="E91" s="14">
        <v>4036.0</v>
      </c>
      <c r="F91" s="14">
        <f t="shared" si="7"/>
        <v>7880</v>
      </c>
      <c r="G91" s="19">
        <f t="shared" si="8"/>
        <v>57466</v>
      </c>
    </row>
    <row r="92">
      <c r="A92" s="12">
        <v>19.0</v>
      </c>
      <c r="B92" s="12" t="s">
        <v>594</v>
      </c>
      <c r="C92" s="13" t="s">
        <v>596</v>
      </c>
      <c r="D92" s="14">
        <v>5900.0</v>
      </c>
      <c r="E92" s="16"/>
      <c r="F92" s="14">
        <f t="shared" si="7"/>
        <v>5900</v>
      </c>
      <c r="G92" s="19">
        <f t="shared" si="8"/>
        <v>63366</v>
      </c>
    </row>
    <row r="93">
      <c r="A93" s="12">
        <v>20.0</v>
      </c>
      <c r="B93" s="12" t="s">
        <v>200</v>
      </c>
      <c r="C93" s="13" t="s">
        <v>597</v>
      </c>
      <c r="D93" s="14">
        <v>2360.0</v>
      </c>
      <c r="E93" s="16"/>
      <c r="F93" s="14">
        <f t="shared" si="7"/>
        <v>2360</v>
      </c>
      <c r="G93" s="19">
        <f t="shared" si="8"/>
        <v>65726</v>
      </c>
    </row>
    <row r="94">
      <c r="A94" s="12">
        <v>21.0</v>
      </c>
      <c r="B94" s="12" t="s">
        <v>206</v>
      </c>
      <c r="C94" s="13" t="s">
        <v>364</v>
      </c>
      <c r="D94" s="14">
        <v>2478.0</v>
      </c>
      <c r="E94" s="16"/>
      <c r="F94" s="14">
        <f t="shared" si="7"/>
        <v>2478</v>
      </c>
      <c r="G94" s="19">
        <f t="shared" si="8"/>
        <v>68204</v>
      </c>
    </row>
    <row r="95">
      <c r="A95" s="12">
        <v>22.0</v>
      </c>
      <c r="B95" s="12" t="s">
        <v>206</v>
      </c>
      <c r="C95" s="13" t="s">
        <v>364</v>
      </c>
      <c r="D95" s="14">
        <v>2602.0</v>
      </c>
      <c r="E95" s="16"/>
      <c r="F95" s="14">
        <f t="shared" si="7"/>
        <v>2602</v>
      </c>
      <c r="G95" s="19">
        <f t="shared" si="8"/>
        <v>70806</v>
      </c>
    </row>
    <row r="96">
      <c r="A96" s="12">
        <v>23.0</v>
      </c>
      <c r="B96" s="12" t="s">
        <v>206</v>
      </c>
      <c r="C96" s="13" t="s">
        <v>598</v>
      </c>
      <c r="D96" s="14">
        <v>2732.0</v>
      </c>
      <c r="E96" s="16"/>
      <c r="F96" s="14">
        <f t="shared" si="7"/>
        <v>2732</v>
      </c>
      <c r="G96" s="19">
        <f t="shared" si="8"/>
        <v>73538</v>
      </c>
    </row>
    <row r="97">
      <c r="A97" s="12">
        <v>24.0</v>
      </c>
      <c r="B97" s="12" t="s">
        <v>202</v>
      </c>
      <c r="C97" s="13" t="s">
        <v>366</v>
      </c>
      <c r="D97" s="14">
        <v>2478.0</v>
      </c>
      <c r="E97" s="16"/>
      <c r="F97" s="14">
        <f t="shared" si="7"/>
        <v>2478</v>
      </c>
      <c r="G97" s="19">
        <f t="shared" si="8"/>
        <v>76016</v>
      </c>
    </row>
    <row r="98">
      <c r="A98" s="12">
        <v>25.0</v>
      </c>
      <c r="B98" s="12" t="s">
        <v>202</v>
      </c>
      <c r="C98" s="13" t="s">
        <v>366</v>
      </c>
      <c r="D98" s="14">
        <v>2602.0</v>
      </c>
      <c r="E98" s="16"/>
      <c r="F98" s="14">
        <f t="shared" si="7"/>
        <v>2602</v>
      </c>
      <c r="G98" s="19">
        <f t="shared" si="8"/>
        <v>78618</v>
      </c>
    </row>
    <row r="99">
      <c r="A99" s="12">
        <v>26.0</v>
      </c>
      <c r="B99" s="12" t="s">
        <v>202</v>
      </c>
      <c r="C99" s="13" t="s">
        <v>599</v>
      </c>
      <c r="D99" s="14">
        <v>2732.0</v>
      </c>
      <c r="E99" s="16"/>
      <c r="F99" s="14">
        <f t="shared" si="7"/>
        <v>2732</v>
      </c>
      <c r="G99" s="19">
        <f t="shared" si="8"/>
        <v>81350</v>
      </c>
    </row>
    <row r="100">
      <c r="A100" s="12">
        <v>27.0</v>
      </c>
      <c r="B100" s="12" t="s">
        <v>210</v>
      </c>
      <c r="C100" s="13" t="s">
        <v>602</v>
      </c>
      <c r="D100" s="14">
        <v>2869.0</v>
      </c>
      <c r="E100" s="16"/>
      <c r="F100" s="14">
        <f t="shared" si="7"/>
        <v>2869</v>
      </c>
      <c r="G100" s="19">
        <f t="shared" si="8"/>
        <v>84219</v>
      </c>
    </row>
    <row r="101">
      <c r="A101" s="12">
        <v>28.0</v>
      </c>
      <c r="B101" s="12" t="s">
        <v>212</v>
      </c>
      <c r="C101" s="13" t="s">
        <v>603</v>
      </c>
      <c r="D101" s="14">
        <v>3844.0</v>
      </c>
      <c r="E101" s="14">
        <v>4036.0</v>
      </c>
      <c r="F101" s="14">
        <f t="shared" si="7"/>
        <v>7880</v>
      </c>
      <c r="G101" s="19">
        <f t="shared" si="8"/>
        <v>92099</v>
      </c>
    </row>
    <row r="102">
      <c r="A102" s="24"/>
      <c r="B102" s="24"/>
      <c r="C102" s="26"/>
      <c r="D102" s="27">
        <v>31.0</v>
      </c>
      <c r="E102" s="28"/>
      <c r="F102" s="27">
        <f>SUM(F74:F101)</f>
        <v>92099</v>
      </c>
      <c r="G102" s="29">
        <f>G101</f>
        <v>92099</v>
      </c>
    </row>
  </sheetData>
  <mergeCells count="4">
    <mergeCell ref="A1:G2"/>
    <mergeCell ref="A20:G21"/>
    <mergeCell ref="A43:G44"/>
    <mergeCell ref="A71:G72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8.86"/>
    <col customWidth="1" min="3" max="3" width="69.86"/>
    <col customWidth="1" min="4" max="5" width="7.14"/>
    <col customWidth="1" min="6" max="6" width="7.0"/>
    <col customWidth="1" min="7" max="7" width="8.57"/>
  </cols>
  <sheetData>
    <row r="1">
      <c r="A1" s="4" t="s">
        <v>255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12</v>
      </c>
      <c r="C4" s="13" t="s">
        <v>15</v>
      </c>
      <c r="D4" s="14">
        <v>947.0</v>
      </c>
      <c r="E4" s="16"/>
      <c r="F4" s="14">
        <f t="shared" ref="F4:F17" si="1">SUM(D4:E4)</f>
        <v>947</v>
      </c>
      <c r="G4" s="19">
        <f>F4</f>
        <v>947</v>
      </c>
    </row>
    <row r="5">
      <c r="A5" s="12">
        <v>2.0</v>
      </c>
      <c r="B5" s="12" t="s">
        <v>12</v>
      </c>
      <c r="C5" s="13" t="s">
        <v>535</v>
      </c>
      <c r="D5" s="14">
        <v>994.0</v>
      </c>
      <c r="E5" s="16"/>
      <c r="F5" s="14">
        <f t="shared" si="1"/>
        <v>994</v>
      </c>
      <c r="G5" s="19">
        <f t="shared" ref="G5:G17" si="2">G4+F5</f>
        <v>1941</v>
      </c>
    </row>
    <row r="6">
      <c r="A6" s="12">
        <v>3.0</v>
      </c>
      <c r="B6" s="12" t="s">
        <v>12</v>
      </c>
      <c r="C6" s="13" t="s">
        <v>535</v>
      </c>
      <c r="D6" s="14">
        <v>1044.0</v>
      </c>
      <c r="E6" s="16"/>
      <c r="F6" s="14">
        <f t="shared" si="1"/>
        <v>1044</v>
      </c>
      <c r="G6" s="19">
        <f t="shared" si="2"/>
        <v>2985</v>
      </c>
    </row>
    <row r="7">
      <c r="A7" s="12">
        <v>4.0</v>
      </c>
      <c r="B7" s="12" t="s">
        <v>22</v>
      </c>
      <c r="C7" s="13" t="s">
        <v>350</v>
      </c>
      <c r="D7" s="14">
        <v>1096.0</v>
      </c>
      <c r="E7" s="16"/>
      <c r="F7" s="14">
        <f t="shared" si="1"/>
        <v>1096</v>
      </c>
      <c r="G7" s="19">
        <f t="shared" si="2"/>
        <v>4081</v>
      </c>
    </row>
    <row r="8">
      <c r="A8" s="12">
        <v>5.0</v>
      </c>
      <c r="B8" s="12" t="s">
        <v>12</v>
      </c>
      <c r="C8" s="13" t="s">
        <v>416</v>
      </c>
      <c r="D8" s="14">
        <v>1151.0</v>
      </c>
      <c r="E8" s="16"/>
      <c r="F8" s="14">
        <f t="shared" si="1"/>
        <v>1151</v>
      </c>
      <c r="G8" s="19">
        <f t="shared" si="2"/>
        <v>5232</v>
      </c>
    </row>
    <row r="9">
      <c r="A9" s="12">
        <v>6.0</v>
      </c>
      <c r="B9" s="12" t="s">
        <v>12</v>
      </c>
      <c r="C9" s="13" t="s">
        <v>416</v>
      </c>
      <c r="D9" s="14">
        <v>1208.0</v>
      </c>
      <c r="E9" s="16"/>
      <c r="F9" s="14">
        <f t="shared" si="1"/>
        <v>1208</v>
      </c>
      <c r="G9" s="19">
        <f t="shared" si="2"/>
        <v>6440</v>
      </c>
    </row>
    <row r="10">
      <c r="A10" s="12">
        <v>7.0</v>
      </c>
      <c r="B10" s="12" t="s">
        <v>522</v>
      </c>
      <c r="C10" s="13" t="s">
        <v>542</v>
      </c>
      <c r="D10" s="14">
        <v>5696.0</v>
      </c>
      <c r="E10" s="16"/>
      <c r="F10" s="14">
        <f t="shared" si="1"/>
        <v>5696</v>
      </c>
      <c r="G10" s="19">
        <f t="shared" si="2"/>
        <v>12136</v>
      </c>
    </row>
    <row r="11">
      <c r="A11" s="12">
        <v>8.0</v>
      </c>
      <c r="B11" s="12" t="s">
        <v>25</v>
      </c>
      <c r="C11" s="13" t="s">
        <v>30</v>
      </c>
      <c r="D11" s="14">
        <v>947.0</v>
      </c>
      <c r="E11" s="16"/>
      <c r="F11" s="14">
        <f t="shared" si="1"/>
        <v>947</v>
      </c>
      <c r="G11" s="19">
        <f t="shared" si="2"/>
        <v>13083</v>
      </c>
    </row>
    <row r="12">
      <c r="A12" s="12">
        <v>9.0</v>
      </c>
      <c r="B12" s="12" t="s">
        <v>25</v>
      </c>
      <c r="C12" s="13" t="s">
        <v>543</v>
      </c>
      <c r="D12" s="14">
        <v>994.0</v>
      </c>
      <c r="E12" s="16"/>
      <c r="F12" s="14">
        <f t="shared" si="1"/>
        <v>994</v>
      </c>
      <c r="G12" s="19">
        <f t="shared" si="2"/>
        <v>14077</v>
      </c>
    </row>
    <row r="13">
      <c r="A13" s="12">
        <v>10.0</v>
      </c>
      <c r="B13" s="12" t="s">
        <v>25</v>
      </c>
      <c r="C13" s="13" t="s">
        <v>543</v>
      </c>
      <c r="D13" s="14">
        <v>1044.0</v>
      </c>
      <c r="E13" s="16"/>
      <c r="F13" s="14">
        <f t="shared" si="1"/>
        <v>1044</v>
      </c>
      <c r="G13" s="19">
        <f t="shared" si="2"/>
        <v>15121</v>
      </c>
    </row>
    <row r="14">
      <c r="A14" s="12">
        <v>11.0</v>
      </c>
      <c r="B14" s="12" t="s">
        <v>22</v>
      </c>
      <c r="C14" s="13" t="s">
        <v>350</v>
      </c>
      <c r="D14" s="14">
        <v>1096.0</v>
      </c>
      <c r="E14" s="16"/>
      <c r="F14" s="14">
        <f t="shared" si="1"/>
        <v>1096</v>
      </c>
      <c r="G14" s="19">
        <f t="shared" si="2"/>
        <v>16217</v>
      </c>
    </row>
    <row r="15">
      <c r="A15" s="12">
        <v>12.0</v>
      </c>
      <c r="B15" s="12" t="s">
        <v>25</v>
      </c>
      <c r="C15" s="13" t="s">
        <v>418</v>
      </c>
      <c r="D15" s="14">
        <v>1151.0</v>
      </c>
      <c r="E15" s="16"/>
      <c r="F15" s="14">
        <f t="shared" si="1"/>
        <v>1151</v>
      </c>
      <c r="G15" s="19">
        <f t="shared" si="2"/>
        <v>17368</v>
      </c>
    </row>
    <row r="16">
      <c r="A16" s="12">
        <v>13.0</v>
      </c>
      <c r="B16" s="12" t="s">
        <v>25</v>
      </c>
      <c r="C16" s="13" t="s">
        <v>418</v>
      </c>
      <c r="D16" s="14">
        <v>1208.0</v>
      </c>
      <c r="E16" s="16"/>
      <c r="F16" s="14">
        <f t="shared" si="1"/>
        <v>1208</v>
      </c>
      <c r="G16" s="19">
        <f t="shared" si="2"/>
        <v>18576</v>
      </c>
    </row>
    <row r="17">
      <c r="A17" s="12">
        <v>14.0</v>
      </c>
      <c r="B17" s="12" t="s">
        <v>516</v>
      </c>
      <c r="C17" s="13" t="s">
        <v>549</v>
      </c>
      <c r="D17" s="14">
        <v>2170.0</v>
      </c>
      <c r="E17" s="14">
        <v>2279.0</v>
      </c>
      <c r="F17" s="14">
        <f t="shared" si="1"/>
        <v>4449</v>
      </c>
      <c r="G17" s="19">
        <f t="shared" si="2"/>
        <v>23025</v>
      </c>
    </row>
    <row r="18">
      <c r="A18" s="24"/>
      <c r="B18" s="24"/>
      <c r="C18" s="26"/>
      <c r="D18" s="27">
        <v>15.0</v>
      </c>
      <c r="E18" s="28"/>
      <c r="F18" s="27">
        <f>SUM(F4:F17)</f>
        <v>23025</v>
      </c>
      <c r="G18" s="29">
        <f>G17</f>
        <v>23025</v>
      </c>
    </row>
    <row r="19">
      <c r="C19" s="30"/>
      <c r="G19" s="30"/>
    </row>
    <row r="20">
      <c r="A20" s="4" t="s">
        <v>529</v>
      </c>
      <c r="B20" s="5"/>
      <c r="C20" s="5"/>
      <c r="D20" s="5"/>
      <c r="E20" s="5"/>
      <c r="F20" s="5"/>
      <c r="G20" s="6"/>
    </row>
    <row r="21">
      <c r="A21" s="7"/>
      <c r="B21" s="8"/>
      <c r="C21" s="8"/>
      <c r="D21" s="8"/>
      <c r="E21" s="8"/>
      <c r="F21" s="8"/>
      <c r="G21" s="9"/>
    </row>
    <row r="22">
      <c r="A22" s="10"/>
      <c r="B22" s="10" t="s">
        <v>6</v>
      </c>
      <c r="C22" s="11" t="s">
        <v>7</v>
      </c>
      <c r="D22" s="10" t="s">
        <v>8</v>
      </c>
      <c r="E22" s="10" t="s">
        <v>9</v>
      </c>
      <c r="F22" s="10" t="s">
        <v>10</v>
      </c>
      <c r="G22" s="11" t="s">
        <v>11</v>
      </c>
    </row>
    <row r="23">
      <c r="A23" s="12">
        <v>1.0</v>
      </c>
      <c r="B23" s="12" t="s">
        <v>148</v>
      </c>
      <c r="C23" s="13" t="s">
        <v>555</v>
      </c>
      <c r="D23" s="14">
        <v>1652.0</v>
      </c>
      <c r="E23" s="16"/>
      <c r="F23" s="14">
        <f t="shared" ref="F23:F40" si="3">SUM(D23:E23)</f>
        <v>1652</v>
      </c>
      <c r="G23" s="19">
        <f>F23</f>
        <v>1652</v>
      </c>
    </row>
    <row r="24">
      <c r="A24" s="12">
        <v>2.0</v>
      </c>
      <c r="B24" s="12" t="s">
        <v>151</v>
      </c>
      <c r="C24" s="13" t="s">
        <v>558</v>
      </c>
      <c r="D24" s="14">
        <v>1735.0</v>
      </c>
      <c r="E24" s="16"/>
      <c r="F24" s="14">
        <f t="shared" si="3"/>
        <v>1735</v>
      </c>
      <c r="G24" s="19">
        <f t="shared" ref="G24:G40" si="4">G23+F24</f>
        <v>3387</v>
      </c>
    </row>
    <row r="25">
      <c r="A25" s="12">
        <v>3.0</v>
      </c>
      <c r="B25" s="12" t="s">
        <v>153</v>
      </c>
      <c r="C25" s="13" t="s">
        <v>561</v>
      </c>
      <c r="D25" s="14">
        <v>3116.0</v>
      </c>
      <c r="E25" s="14">
        <v>3272.0</v>
      </c>
      <c r="F25" s="14">
        <f t="shared" si="3"/>
        <v>6388</v>
      </c>
      <c r="G25" s="19">
        <f t="shared" si="4"/>
        <v>9775</v>
      </c>
    </row>
    <row r="26">
      <c r="A26" s="12">
        <v>4.0</v>
      </c>
      <c r="B26" s="12" t="s">
        <v>151</v>
      </c>
      <c r="C26" s="13" t="s">
        <v>558</v>
      </c>
      <c r="D26" s="14">
        <v>1913.0</v>
      </c>
      <c r="E26" s="16"/>
      <c r="F26" s="14">
        <f t="shared" si="3"/>
        <v>1913</v>
      </c>
      <c r="G26" s="19">
        <f t="shared" si="4"/>
        <v>11688</v>
      </c>
    </row>
    <row r="27">
      <c r="A27" s="12">
        <v>5.0</v>
      </c>
      <c r="B27" s="12" t="s">
        <v>93</v>
      </c>
      <c r="C27" s="13" t="s">
        <v>486</v>
      </c>
      <c r="D27" s="14">
        <v>2008.0</v>
      </c>
      <c r="E27" s="16"/>
      <c r="F27" s="14">
        <f t="shared" si="3"/>
        <v>2008</v>
      </c>
      <c r="G27" s="19">
        <f t="shared" si="4"/>
        <v>13696</v>
      </c>
    </row>
    <row r="28">
      <c r="A28" s="12">
        <v>6.0</v>
      </c>
      <c r="B28" s="12" t="s">
        <v>151</v>
      </c>
      <c r="C28" s="13" t="s">
        <v>558</v>
      </c>
      <c r="D28" s="14">
        <v>2109.0</v>
      </c>
      <c r="E28" s="16"/>
      <c r="F28" s="14">
        <f t="shared" si="3"/>
        <v>2109</v>
      </c>
      <c r="G28" s="19">
        <f t="shared" si="4"/>
        <v>15805</v>
      </c>
    </row>
    <row r="29">
      <c r="A29" s="12">
        <v>7.0</v>
      </c>
      <c r="B29" s="12" t="s">
        <v>157</v>
      </c>
      <c r="C29" s="13" t="s">
        <v>566</v>
      </c>
      <c r="D29" s="14">
        <v>2214.0</v>
      </c>
      <c r="E29" s="16"/>
      <c r="F29" s="14">
        <f t="shared" si="3"/>
        <v>2214</v>
      </c>
      <c r="G29" s="19">
        <f t="shared" si="4"/>
        <v>18019</v>
      </c>
    </row>
    <row r="30">
      <c r="A30" s="12">
        <v>8.0</v>
      </c>
      <c r="B30" s="12" t="s">
        <v>151</v>
      </c>
      <c r="C30" s="13" t="s">
        <v>558</v>
      </c>
      <c r="D30" s="14">
        <v>2325.0</v>
      </c>
      <c r="E30" s="16"/>
      <c r="F30" s="14">
        <f t="shared" si="3"/>
        <v>2325</v>
      </c>
      <c r="G30" s="19">
        <f t="shared" si="4"/>
        <v>20344</v>
      </c>
    </row>
    <row r="31">
      <c r="A31" s="12">
        <v>9.0</v>
      </c>
      <c r="B31" s="12" t="s">
        <v>93</v>
      </c>
      <c r="C31" s="13" t="s">
        <v>493</v>
      </c>
      <c r="D31" s="14">
        <v>2441.0</v>
      </c>
      <c r="E31" s="16"/>
      <c r="F31" s="14">
        <f t="shared" si="3"/>
        <v>2441</v>
      </c>
      <c r="G31" s="19">
        <f t="shared" si="4"/>
        <v>22785</v>
      </c>
    </row>
    <row r="32">
      <c r="A32" s="12">
        <v>10.0</v>
      </c>
      <c r="B32" s="12" t="s">
        <v>151</v>
      </c>
      <c r="C32" s="13" t="s">
        <v>558</v>
      </c>
      <c r="D32" s="14">
        <v>2563.0</v>
      </c>
      <c r="E32" s="16"/>
      <c r="F32" s="14">
        <f t="shared" si="3"/>
        <v>2563</v>
      </c>
      <c r="G32" s="19">
        <f t="shared" si="4"/>
        <v>25348</v>
      </c>
    </row>
    <row r="33">
      <c r="A33" s="12">
        <v>11.0</v>
      </c>
      <c r="B33" s="12" t="s">
        <v>148</v>
      </c>
      <c r="C33" s="13" t="s">
        <v>555</v>
      </c>
      <c r="D33" s="14">
        <v>1913.0</v>
      </c>
      <c r="E33" s="16"/>
      <c r="F33" s="14">
        <f t="shared" si="3"/>
        <v>1913</v>
      </c>
      <c r="G33" s="19">
        <f t="shared" si="4"/>
        <v>27261</v>
      </c>
    </row>
    <row r="34">
      <c r="A34" s="12">
        <v>12.0</v>
      </c>
      <c r="B34" s="12" t="s">
        <v>99</v>
      </c>
      <c r="C34" s="13" t="s">
        <v>498</v>
      </c>
      <c r="D34" s="14">
        <v>2008.0</v>
      </c>
      <c r="E34" s="16"/>
      <c r="F34" s="14">
        <f t="shared" si="3"/>
        <v>2008</v>
      </c>
      <c r="G34" s="19">
        <f t="shared" si="4"/>
        <v>29269</v>
      </c>
    </row>
    <row r="35">
      <c r="A35" s="12">
        <v>13.0</v>
      </c>
      <c r="B35" s="12" t="s">
        <v>148</v>
      </c>
      <c r="C35" s="13" t="s">
        <v>555</v>
      </c>
      <c r="D35" s="14">
        <v>2109.0</v>
      </c>
      <c r="E35" s="16"/>
      <c r="F35" s="14">
        <f t="shared" si="3"/>
        <v>2109</v>
      </c>
      <c r="G35" s="19">
        <f t="shared" si="4"/>
        <v>31378</v>
      </c>
    </row>
    <row r="36">
      <c r="A36" s="12">
        <v>14.0</v>
      </c>
      <c r="B36" s="12" t="s">
        <v>160</v>
      </c>
      <c r="C36" s="13" t="s">
        <v>571</v>
      </c>
      <c r="D36" s="14">
        <v>2214.0</v>
      </c>
      <c r="E36" s="16"/>
      <c r="F36" s="14">
        <f t="shared" si="3"/>
        <v>2214</v>
      </c>
      <c r="G36" s="19">
        <f t="shared" si="4"/>
        <v>33592</v>
      </c>
    </row>
    <row r="37">
      <c r="A37" s="12">
        <v>15.0</v>
      </c>
      <c r="B37" s="12" t="s">
        <v>148</v>
      </c>
      <c r="C37" s="13" t="s">
        <v>555</v>
      </c>
      <c r="D37" s="14">
        <v>2325.0</v>
      </c>
      <c r="E37" s="16"/>
      <c r="F37" s="14">
        <f t="shared" si="3"/>
        <v>2325</v>
      </c>
      <c r="G37" s="19">
        <f t="shared" si="4"/>
        <v>35917</v>
      </c>
    </row>
    <row r="38">
      <c r="A38" s="12">
        <v>16.0</v>
      </c>
      <c r="B38" s="12" t="s">
        <v>99</v>
      </c>
      <c r="C38" s="13" t="s">
        <v>500</v>
      </c>
      <c r="D38" s="14">
        <v>2441.0</v>
      </c>
      <c r="E38" s="16"/>
      <c r="F38" s="14">
        <f t="shared" si="3"/>
        <v>2441</v>
      </c>
      <c r="G38" s="19">
        <f t="shared" si="4"/>
        <v>38358</v>
      </c>
    </row>
    <row r="39">
      <c r="A39" s="12">
        <v>17.0</v>
      </c>
      <c r="B39" s="12" t="s">
        <v>148</v>
      </c>
      <c r="C39" s="13" t="s">
        <v>555</v>
      </c>
      <c r="D39" s="14">
        <v>2563.0</v>
      </c>
      <c r="E39" s="16"/>
      <c r="F39" s="14">
        <f t="shared" si="3"/>
        <v>2563</v>
      </c>
      <c r="G39" s="19">
        <f t="shared" si="4"/>
        <v>40921</v>
      </c>
    </row>
    <row r="40">
      <c r="A40" s="12">
        <v>18.0</v>
      </c>
      <c r="B40" s="12" t="s">
        <v>547</v>
      </c>
      <c r="C40" s="13" t="s">
        <v>166</v>
      </c>
      <c r="D40" s="14">
        <v>5127.0</v>
      </c>
      <c r="E40" s="16"/>
      <c r="F40" s="14">
        <f t="shared" si="3"/>
        <v>5127</v>
      </c>
      <c r="G40" s="19">
        <f t="shared" si="4"/>
        <v>46048</v>
      </c>
    </row>
    <row r="41">
      <c r="A41" s="24"/>
      <c r="B41" s="24"/>
      <c r="C41" s="26"/>
      <c r="D41" s="27">
        <v>19.0</v>
      </c>
      <c r="E41" s="28"/>
      <c r="F41" s="27">
        <f>SUM(F23:F40)</f>
        <v>46048</v>
      </c>
      <c r="G41" s="29">
        <f>G40</f>
        <v>46048</v>
      </c>
    </row>
    <row r="42">
      <c r="C42" s="30"/>
      <c r="G42" s="30"/>
    </row>
    <row r="43">
      <c r="A43" s="4" t="s">
        <v>552</v>
      </c>
      <c r="B43" s="5"/>
      <c r="C43" s="5"/>
      <c r="D43" s="5"/>
      <c r="E43" s="5"/>
      <c r="F43" s="5"/>
      <c r="G43" s="6"/>
    </row>
    <row r="44">
      <c r="A44" s="7"/>
      <c r="B44" s="8"/>
      <c r="C44" s="8"/>
      <c r="D44" s="8"/>
      <c r="E44" s="8"/>
      <c r="F44" s="8"/>
      <c r="G44" s="9"/>
    </row>
    <row r="45">
      <c r="A45" s="10"/>
      <c r="B45" s="10" t="s">
        <v>6</v>
      </c>
      <c r="C45" s="11" t="s">
        <v>7</v>
      </c>
      <c r="D45" s="10" t="s">
        <v>8</v>
      </c>
      <c r="E45" s="10" t="s">
        <v>9</v>
      </c>
      <c r="F45" s="10" t="s">
        <v>10</v>
      </c>
      <c r="G45" s="11" t="s">
        <v>11</v>
      </c>
    </row>
    <row r="46">
      <c r="A46" s="12">
        <v>1.0</v>
      </c>
      <c r="B46" s="12" t="s">
        <v>170</v>
      </c>
      <c r="C46" s="13" t="s">
        <v>575</v>
      </c>
      <c r="D46" s="14">
        <v>1796.0</v>
      </c>
      <c r="E46" s="16"/>
      <c r="F46" s="14">
        <f t="shared" ref="F46:F68" si="5">SUM(D46:E46)</f>
        <v>1796</v>
      </c>
      <c r="G46" s="19">
        <f>F46</f>
        <v>1796</v>
      </c>
    </row>
    <row r="47">
      <c r="A47" s="12">
        <v>2.0</v>
      </c>
      <c r="B47" s="12" t="s">
        <v>173</v>
      </c>
      <c r="C47" s="13" t="s">
        <v>174</v>
      </c>
      <c r="D47" s="14">
        <v>1886.0</v>
      </c>
      <c r="E47" s="16"/>
      <c r="F47" s="14">
        <f t="shared" si="5"/>
        <v>1886</v>
      </c>
      <c r="G47" s="19">
        <f t="shared" ref="G47:G68" si="6">G46+F47</f>
        <v>3682</v>
      </c>
    </row>
    <row r="48">
      <c r="A48" s="12">
        <v>3.0</v>
      </c>
      <c r="B48" s="12" t="s">
        <v>170</v>
      </c>
      <c r="C48" s="13" t="s">
        <v>578</v>
      </c>
      <c r="D48" s="14">
        <v>1980.0</v>
      </c>
      <c r="E48" s="16"/>
      <c r="F48" s="14">
        <f t="shared" si="5"/>
        <v>1980</v>
      </c>
      <c r="G48" s="19">
        <f t="shared" si="6"/>
        <v>5662</v>
      </c>
    </row>
    <row r="49">
      <c r="A49" s="12">
        <v>4.0</v>
      </c>
      <c r="B49" s="12" t="s">
        <v>67</v>
      </c>
      <c r="C49" s="13" t="s">
        <v>579</v>
      </c>
      <c r="D49" s="14">
        <v>1796.0</v>
      </c>
      <c r="E49" s="16"/>
      <c r="F49" s="14">
        <f t="shared" si="5"/>
        <v>1796</v>
      </c>
      <c r="G49" s="19">
        <f t="shared" si="6"/>
        <v>7458</v>
      </c>
    </row>
    <row r="50">
      <c r="A50" s="12">
        <v>5.0</v>
      </c>
      <c r="B50" s="12" t="s">
        <v>177</v>
      </c>
      <c r="C50" s="13" t="s">
        <v>178</v>
      </c>
      <c r="D50" s="14">
        <v>1886.0</v>
      </c>
      <c r="E50" s="16"/>
      <c r="F50" s="14">
        <f t="shared" si="5"/>
        <v>1886</v>
      </c>
      <c r="G50" s="19">
        <f t="shared" si="6"/>
        <v>9344</v>
      </c>
    </row>
    <row r="51">
      <c r="A51" s="12">
        <v>6.0</v>
      </c>
      <c r="B51" s="12" t="s">
        <v>67</v>
      </c>
      <c r="C51" s="13" t="s">
        <v>579</v>
      </c>
      <c r="D51" s="14">
        <v>1980.0</v>
      </c>
      <c r="E51" s="16"/>
      <c r="F51" s="14">
        <f t="shared" si="5"/>
        <v>1980</v>
      </c>
      <c r="G51" s="19">
        <f t="shared" si="6"/>
        <v>11324</v>
      </c>
    </row>
    <row r="52">
      <c r="A52" s="12">
        <v>7.0</v>
      </c>
      <c r="B52" s="12" t="s">
        <v>180</v>
      </c>
      <c r="C52" s="13" t="s">
        <v>581</v>
      </c>
      <c r="D52" s="14">
        <v>3556.0</v>
      </c>
      <c r="E52" s="14">
        <v>3734.0</v>
      </c>
      <c r="F52" s="14">
        <f t="shared" si="5"/>
        <v>7290</v>
      </c>
      <c r="G52" s="19">
        <f t="shared" si="6"/>
        <v>18614</v>
      </c>
    </row>
    <row r="53">
      <c r="A53" s="12">
        <v>8.0</v>
      </c>
      <c r="B53" s="12" t="s">
        <v>173</v>
      </c>
      <c r="C53" s="13" t="s">
        <v>174</v>
      </c>
      <c r="D53" s="14">
        <v>2183.0</v>
      </c>
      <c r="E53" s="16"/>
      <c r="F53" s="14">
        <f t="shared" si="5"/>
        <v>2183</v>
      </c>
      <c r="G53" s="19">
        <f t="shared" si="6"/>
        <v>20797</v>
      </c>
    </row>
    <row r="54">
      <c r="A54" s="12">
        <v>9.0</v>
      </c>
      <c r="B54" s="12" t="s">
        <v>170</v>
      </c>
      <c r="C54" s="13" t="s">
        <v>578</v>
      </c>
      <c r="D54" s="14">
        <v>2292.0</v>
      </c>
      <c r="E54" s="16"/>
      <c r="F54" s="14">
        <f t="shared" si="5"/>
        <v>2292</v>
      </c>
      <c r="G54" s="19">
        <f t="shared" si="6"/>
        <v>23089</v>
      </c>
    </row>
    <row r="55">
      <c r="A55" s="12">
        <v>10.0</v>
      </c>
      <c r="B55" s="12" t="s">
        <v>173</v>
      </c>
      <c r="C55" s="13" t="s">
        <v>174</v>
      </c>
      <c r="D55" s="14">
        <v>2407.0</v>
      </c>
      <c r="E55" s="16"/>
      <c r="F55" s="14">
        <f t="shared" si="5"/>
        <v>2407</v>
      </c>
      <c r="G55" s="19">
        <f t="shared" si="6"/>
        <v>25496</v>
      </c>
    </row>
    <row r="56">
      <c r="A56" s="12">
        <v>11.0</v>
      </c>
      <c r="B56" s="12" t="s">
        <v>170</v>
      </c>
      <c r="C56" s="13" t="s">
        <v>578</v>
      </c>
      <c r="D56" s="14">
        <v>2527.0</v>
      </c>
      <c r="E56" s="16"/>
      <c r="F56" s="14">
        <f t="shared" si="5"/>
        <v>2527</v>
      </c>
      <c r="G56" s="19">
        <f t="shared" si="6"/>
        <v>28023</v>
      </c>
    </row>
    <row r="57">
      <c r="A57" s="12">
        <v>12.0</v>
      </c>
      <c r="B57" s="12" t="s">
        <v>173</v>
      </c>
      <c r="C57" s="13" t="s">
        <v>174</v>
      </c>
      <c r="D57" s="14">
        <v>2653.0</v>
      </c>
      <c r="E57" s="16"/>
      <c r="F57" s="14">
        <f t="shared" si="5"/>
        <v>2653</v>
      </c>
      <c r="G57" s="19">
        <f t="shared" si="6"/>
        <v>30676</v>
      </c>
    </row>
    <row r="58">
      <c r="A58" s="12">
        <v>13.0</v>
      </c>
      <c r="B58" s="12" t="s">
        <v>170</v>
      </c>
      <c r="C58" s="13" t="s">
        <v>578</v>
      </c>
      <c r="D58" s="14">
        <v>2786.0</v>
      </c>
      <c r="E58" s="16"/>
      <c r="F58" s="14">
        <f t="shared" si="5"/>
        <v>2786</v>
      </c>
      <c r="G58" s="19">
        <f t="shared" si="6"/>
        <v>33462</v>
      </c>
    </row>
    <row r="59">
      <c r="A59" s="12">
        <v>14.0</v>
      </c>
      <c r="B59" s="12" t="s">
        <v>170</v>
      </c>
      <c r="C59" s="13" t="s">
        <v>578</v>
      </c>
      <c r="D59" s="14">
        <v>2292.0</v>
      </c>
      <c r="E59" s="16"/>
      <c r="F59" s="14">
        <f t="shared" si="5"/>
        <v>2292</v>
      </c>
      <c r="G59" s="19">
        <f t="shared" si="6"/>
        <v>35754</v>
      </c>
    </row>
    <row r="60">
      <c r="A60" s="12">
        <v>15.0</v>
      </c>
      <c r="B60" s="12" t="s">
        <v>177</v>
      </c>
      <c r="C60" s="13" t="s">
        <v>178</v>
      </c>
      <c r="D60" s="14">
        <v>2183.0</v>
      </c>
      <c r="E60" s="16"/>
      <c r="F60" s="14">
        <f t="shared" si="5"/>
        <v>2183</v>
      </c>
      <c r="G60" s="19">
        <f t="shared" si="6"/>
        <v>37937</v>
      </c>
    </row>
    <row r="61">
      <c r="A61" s="12">
        <v>16.0</v>
      </c>
      <c r="B61" s="12" t="s">
        <v>67</v>
      </c>
      <c r="C61" s="13" t="s">
        <v>579</v>
      </c>
      <c r="D61" s="14">
        <v>2292.0</v>
      </c>
      <c r="E61" s="16"/>
      <c r="F61" s="14">
        <f t="shared" si="5"/>
        <v>2292</v>
      </c>
      <c r="G61" s="19">
        <f t="shared" si="6"/>
        <v>40229</v>
      </c>
    </row>
    <row r="62">
      <c r="A62" s="12">
        <v>17.0</v>
      </c>
      <c r="B62" s="12" t="s">
        <v>569</v>
      </c>
      <c r="C62" s="13" t="s">
        <v>591</v>
      </c>
      <c r="D62" s="14">
        <v>5926.0</v>
      </c>
      <c r="E62" s="16"/>
      <c r="F62" s="14">
        <f t="shared" si="5"/>
        <v>5926</v>
      </c>
      <c r="G62" s="19">
        <f t="shared" si="6"/>
        <v>46155</v>
      </c>
    </row>
    <row r="63">
      <c r="A63" s="12">
        <v>18.0</v>
      </c>
      <c r="B63" s="12" t="s">
        <v>67</v>
      </c>
      <c r="C63" s="13" t="s">
        <v>579</v>
      </c>
      <c r="D63" s="14">
        <v>2292.0</v>
      </c>
      <c r="E63" s="16"/>
      <c r="F63" s="14">
        <f t="shared" si="5"/>
        <v>2292</v>
      </c>
      <c r="G63" s="19">
        <f t="shared" si="6"/>
        <v>48447</v>
      </c>
    </row>
    <row r="64">
      <c r="A64" s="12">
        <v>19.0</v>
      </c>
      <c r="B64" s="12" t="s">
        <v>177</v>
      </c>
      <c r="C64" s="13" t="s">
        <v>178</v>
      </c>
      <c r="D64" s="14">
        <v>2407.0</v>
      </c>
      <c r="E64" s="16"/>
      <c r="F64" s="14">
        <f t="shared" si="5"/>
        <v>2407</v>
      </c>
      <c r="G64" s="19">
        <f t="shared" si="6"/>
        <v>50854</v>
      </c>
    </row>
    <row r="65">
      <c r="A65" s="12">
        <v>20.0</v>
      </c>
      <c r="B65" s="12" t="s">
        <v>67</v>
      </c>
      <c r="C65" s="13" t="s">
        <v>579</v>
      </c>
      <c r="D65" s="14">
        <v>2527.0</v>
      </c>
      <c r="E65" s="16"/>
      <c r="F65" s="14">
        <f t="shared" si="5"/>
        <v>2527</v>
      </c>
      <c r="G65" s="19">
        <f t="shared" si="6"/>
        <v>53381</v>
      </c>
    </row>
    <row r="66">
      <c r="A66" s="12">
        <v>21.0</v>
      </c>
      <c r="B66" s="12" t="s">
        <v>177</v>
      </c>
      <c r="C66" s="13" t="s">
        <v>178</v>
      </c>
      <c r="D66" s="14">
        <v>2653.0</v>
      </c>
      <c r="E66" s="16"/>
      <c r="F66" s="14">
        <f t="shared" si="5"/>
        <v>2653</v>
      </c>
      <c r="G66" s="19">
        <f t="shared" si="6"/>
        <v>56034</v>
      </c>
    </row>
    <row r="67">
      <c r="A67" s="12">
        <v>22.0</v>
      </c>
      <c r="B67" s="12" t="s">
        <v>67</v>
      </c>
      <c r="C67" s="13" t="s">
        <v>579</v>
      </c>
      <c r="D67" s="14">
        <v>2786.0</v>
      </c>
      <c r="E67" s="16"/>
      <c r="F67" s="14">
        <f t="shared" si="5"/>
        <v>2786</v>
      </c>
      <c r="G67" s="19">
        <f t="shared" si="6"/>
        <v>58820</v>
      </c>
    </row>
    <row r="68">
      <c r="A68" s="12">
        <v>23.0</v>
      </c>
      <c r="B68" s="12" t="s">
        <v>180</v>
      </c>
      <c r="C68" s="13" t="s">
        <v>412</v>
      </c>
      <c r="D68" s="14">
        <v>5003.0</v>
      </c>
      <c r="E68" s="14">
        <v>5253.0</v>
      </c>
      <c r="F68" s="14">
        <f t="shared" si="5"/>
        <v>10256</v>
      </c>
      <c r="G68" s="19">
        <f t="shared" si="6"/>
        <v>69076</v>
      </c>
    </row>
    <row r="69">
      <c r="A69" s="24"/>
      <c r="B69" s="24"/>
      <c r="C69" s="26"/>
      <c r="D69" s="27">
        <v>25.0</v>
      </c>
      <c r="E69" s="28"/>
      <c r="F69" s="27">
        <f>SUM(F46:F68)</f>
        <v>69076</v>
      </c>
      <c r="G69" s="29">
        <f>G68</f>
        <v>69076</v>
      </c>
    </row>
    <row r="70">
      <c r="C70" s="30"/>
      <c r="G70" s="30"/>
    </row>
    <row r="71">
      <c r="A71" s="4" t="s">
        <v>574</v>
      </c>
      <c r="B71" s="5"/>
      <c r="C71" s="5"/>
      <c r="D71" s="5"/>
      <c r="E71" s="5"/>
      <c r="F71" s="5"/>
      <c r="G71" s="6"/>
    </row>
    <row r="72">
      <c r="A72" s="7"/>
      <c r="B72" s="8"/>
      <c r="C72" s="8"/>
      <c r="D72" s="8"/>
      <c r="E72" s="8"/>
      <c r="F72" s="8"/>
      <c r="G72" s="9"/>
    </row>
    <row r="73">
      <c r="A73" s="10"/>
      <c r="B73" s="10" t="s">
        <v>6</v>
      </c>
      <c r="C73" s="11" t="s">
        <v>7</v>
      </c>
      <c r="D73" s="10" t="s">
        <v>8</v>
      </c>
      <c r="E73" s="10" t="s">
        <v>9</v>
      </c>
      <c r="F73" s="10" t="s">
        <v>10</v>
      </c>
      <c r="G73" s="11" t="s">
        <v>11</v>
      </c>
    </row>
    <row r="74">
      <c r="A74" s="12">
        <v>1.0</v>
      </c>
      <c r="B74" s="12" t="s">
        <v>200</v>
      </c>
      <c r="C74" s="13" t="s">
        <v>604</v>
      </c>
      <c r="D74" s="14">
        <v>2360.0</v>
      </c>
      <c r="E74" s="16"/>
      <c r="F74" s="14">
        <f t="shared" ref="F74:F101" si="7">SUM(D74:E74)</f>
        <v>2360</v>
      </c>
      <c r="G74" s="19">
        <f>F74</f>
        <v>2360</v>
      </c>
    </row>
    <row r="75">
      <c r="A75" s="12">
        <v>2.0</v>
      </c>
      <c r="B75" s="12" t="s">
        <v>202</v>
      </c>
      <c r="C75" s="13" t="s">
        <v>329</v>
      </c>
      <c r="D75" s="14">
        <v>2478.0</v>
      </c>
      <c r="E75" s="16"/>
      <c r="F75" s="14">
        <f t="shared" si="7"/>
        <v>2478</v>
      </c>
      <c r="G75" s="19">
        <f t="shared" ref="G75:G101" si="8">G74+F75</f>
        <v>4838</v>
      </c>
    </row>
    <row r="76">
      <c r="A76" s="12">
        <v>3.0</v>
      </c>
      <c r="B76" s="12" t="s">
        <v>202</v>
      </c>
      <c r="C76" s="13" t="s">
        <v>329</v>
      </c>
      <c r="D76" s="14">
        <v>2602.0</v>
      </c>
      <c r="E76" s="16"/>
      <c r="F76" s="14">
        <f t="shared" si="7"/>
        <v>2602</v>
      </c>
      <c r="G76" s="19">
        <f t="shared" si="8"/>
        <v>7440</v>
      </c>
    </row>
    <row r="77">
      <c r="A77" s="12">
        <v>4.0</v>
      </c>
      <c r="B77" s="12" t="s">
        <v>202</v>
      </c>
      <c r="C77" s="13" t="s">
        <v>606</v>
      </c>
      <c r="D77" s="14">
        <v>2732.0</v>
      </c>
      <c r="E77" s="16"/>
      <c r="F77" s="14">
        <f t="shared" si="7"/>
        <v>2732</v>
      </c>
      <c r="G77" s="19">
        <f t="shared" si="8"/>
        <v>10172</v>
      </c>
    </row>
    <row r="78">
      <c r="A78" s="12">
        <v>5.0</v>
      </c>
      <c r="B78" s="12" t="s">
        <v>206</v>
      </c>
      <c r="C78" s="13" t="s">
        <v>331</v>
      </c>
      <c r="D78" s="14">
        <v>2478.0</v>
      </c>
      <c r="E78" s="16"/>
      <c r="F78" s="14">
        <f t="shared" si="7"/>
        <v>2478</v>
      </c>
      <c r="G78" s="19">
        <f t="shared" si="8"/>
        <v>12650</v>
      </c>
    </row>
    <row r="79">
      <c r="A79" s="12">
        <v>6.0</v>
      </c>
      <c r="B79" s="12" t="s">
        <v>206</v>
      </c>
      <c r="C79" s="13" t="s">
        <v>331</v>
      </c>
      <c r="D79" s="14">
        <v>2602.0</v>
      </c>
      <c r="E79" s="16"/>
      <c r="F79" s="14">
        <f t="shared" si="7"/>
        <v>2602</v>
      </c>
      <c r="G79" s="19">
        <f t="shared" si="8"/>
        <v>15252</v>
      </c>
    </row>
    <row r="80">
      <c r="A80" s="12">
        <v>7.0</v>
      </c>
      <c r="B80" s="12" t="s">
        <v>206</v>
      </c>
      <c r="C80" s="13" t="s">
        <v>609</v>
      </c>
      <c r="D80" s="14">
        <v>2732.0</v>
      </c>
      <c r="E80" s="16"/>
      <c r="F80" s="14">
        <f t="shared" si="7"/>
        <v>2732</v>
      </c>
      <c r="G80" s="19">
        <f t="shared" si="8"/>
        <v>17984</v>
      </c>
    </row>
    <row r="81">
      <c r="A81" s="12">
        <v>8.0</v>
      </c>
      <c r="B81" s="12" t="s">
        <v>210</v>
      </c>
      <c r="C81" s="13" t="s">
        <v>612</v>
      </c>
      <c r="D81" s="14">
        <v>2869.0</v>
      </c>
      <c r="E81" s="16"/>
      <c r="F81" s="14">
        <f t="shared" si="7"/>
        <v>2869</v>
      </c>
      <c r="G81" s="19">
        <f t="shared" si="8"/>
        <v>20853</v>
      </c>
    </row>
    <row r="82">
      <c r="A82" s="12">
        <v>9.0</v>
      </c>
      <c r="B82" s="12" t="s">
        <v>212</v>
      </c>
      <c r="C82" s="13" t="s">
        <v>614</v>
      </c>
      <c r="D82" s="14">
        <v>3844.0</v>
      </c>
      <c r="E82" s="14">
        <v>4036.0</v>
      </c>
      <c r="F82" s="14">
        <f t="shared" si="7"/>
        <v>7880</v>
      </c>
      <c r="G82" s="19">
        <f t="shared" si="8"/>
        <v>28733</v>
      </c>
    </row>
    <row r="83">
      <c r="A83" s="12">
        <v>10.0</v>
      </c>
      <c r="B83" s="12" t="s">
        <v>214</v>
      </c>
      <c r="C83" s="13" t="s">
        <v>615</v>
      </c>
      <c r="D83" s="14">
        <v>2360.0</v>
      </c>
      <c r="E83" s="16"/>
      <c r="F83" s="14">
        <f t="shared" si="7"/>
        <v>2360</v>
      </c>
      <c r="G83" s="19">
        <f t="shared" si="8"/>
        <v>31093</v>
      </c>
    </row>
    <row r="84">
      <c r="A84" s="12">
        <v>11.0</v>
      </c>
      <c r="B84" s="12" t="s">
        <v>218</v>
      </c>
      <c r="C84" s="13" t="s">
        <v>334</v>
      </c>
      <c r="D84" s="14">
        <v>2478.0</v>
      </c>
      <c r="E84" s="16"/>
      <c r="F84" s="14">
        <f t="shared" si="7"/>
        <v>2478</v>
      </c>
      <c r="G84" s="19">
        <f t="shared" si="8"/>
        <v>33571</v>
      </c>
    </row>
    <row r="85">
      <c r="A85" s="12">
        <v>12.0</v>
      </c>
      <c r="B85" s="12" t="s">
        <v>218</v>
      </c>
      <c r="C85" s="13" t="s">
        <v>334</v>
      </c>
      <c r="D85" s="14">
        <v>2602.0</v>
      </c>
      <c r="E85" s="16"/>
      <c r="F85" s="14">
        <f t="shared" si="7"/>
        <v>2602</v>
      </c>
      <c r="G85" s="19">
        <f t="shared" si="8"/>
        <v>36173</v>
      </c>
    </row>
    <row r="86">
      <c r="A86" s="12">
        <v>13.0</v>
      </c>
      <c r="B86" s="12" t="s">
        <v>218</v>
      </c>
      <c r="C86" s="13" t="s">
        <v>616</v>
      </c>
      <c r="D86" s="14">
        <v>2732.0</v>
      </c>
      <c r="E86" s="16"/>
      <c r="F86" s="14">
        <f t="shared" si="7"/>
        <v>2732</v>
      </c>
      <c r="G86" s="19">
        <f t="shared" si="8"/>
        <v>38905</v>
      </c>
    </row>
    <row r="87">
      <c r="A87" s="12">
        <v>14.0</v>
      </c>
      <c r="B87" s="12" t="s">
        <v>157</v>
      </c>
      <c r="C87" s="13" t="s">
        <v>336</v>
      </c>
      <c r="D87" s="14">
        <v>2478.0</v>
      </c>
      <c r="E87" s="16"/>
      <c r="F87" s="14">
        <f t="shared" si="7"/>
        <v>2478</v>
      </c>
      <c r="G87" s="19">
        <f t="shared" si="8"/>
        <v>41383</v>
      </c>
    </row>
    <row r="88">
      <c r="A88" s="12">
        <v>15.0</v>
      </c>
      <c r="B88" s="12" t="s">
        <v>157</v>
      </c>
      <c r="C88" s="13" t="s">
        <v>336</v>
      </c>
      <c r="D88" s="14">
        <v>2602.0</v>
      </c>
      <c r="E88" s="16"/>
      <c r="F88" s="14">
        <f t="shared" si="7"/>
        <v>2602</v>
      </c>
      <c r="G88" s="19">
        <f t="shared" si="8"/>
        <v>43985</v>
      </c>
    </row>
    <row r="89">
      <c r="A89" s="12">
        <v>16.0</v>
      </c>
      <c r="B89" s="12" t="s">
        <v>157</v>
      </c>
      <c r="C89" s="13" t="s">
        <v>618</v>
      </c>
      <c r="D89" s="14">
        <v>2732.0</v>
      </c>
      <c r="E89" s="16"/>
      <c r="F89" s="14">
        <f t="shared" si="7"/>
        <v>2732</v>
      </c>
      <c r="G89" s="19">
        <f t="shared" si="8"/>
        <v>46717</v>
      </c>
    </row>
    <row r="90">
      <c r="A90" s="12">
        <v>17.0</v>
      </c>
      <c r="B90" s="12" t="s">
        <v>224</v>
      </c>
      <c r="C90" s="13" t="s">
        <v>619</v>
      </c>
      <c r="D90" s="14">
        <v>2869.0</v>
      </c>
      <c r="E90" s="16"/>
      <c r="F90" s="14">
        <f t="shared" si="7"/>
        <v>2869</v>
      </c>
      <c r="G90" s="19">
        <f t="shared" si="8"/>
        <v>49586</v>
      </c>
    </row>
    <row r="91">
      <c r="A91" s="12">
        <v>18.0</v>
      </c>
      <c r="B91" s="12" t="s">
        <v>230</v>
      </c>
      <c r="C91" s="13" t="s">
        <v>621</v>
      </c>
      <c r="D91" s="14">
        <v>3844.0</v>
      </c>
      <c r="E91" s="14">
        <v>4036.0</v>
      </c>
      <c r="F91" s="14">
        <f t="shared" si="7"/>
        <v>7880</v>
      </c>
      <c r="G91" s="19">
        <f t="shared" si="8"/>
        <v>57466</v>
      </c>
    </row>
    <row r="92">
      <c r="A92" s="12">
        <v>19.0</v>
      </c>
      <c r="B92" s="12" t="s">
        <v>594</v>
      </c>
      <c r="C92" s="13" t="s">
        <v>622</v>
      </c>
      <c r="D92" s="14">
        <v>5900.0</v>
      </c>
      <c r="E92" s="16"/>
      <c r="F92" s="14">
        <f t="shared" si="7"/>
        <v>5900</v>
      </c>
      <c r="G92" s="19">
        <f t="shared" si="8"/>
        <v>63366</v>
      </c>
    </row>
    <row r="93">
      <c r="A93" s="12">
        <v>20.0</v>
      </c>
      <c r="B93" s="12" t="s">
        <v>226</v>
      </c>
      <c r="C93" s="13" t="s">
        <v>623</v>
      </c>
      <c r="D93" s="14">
        <v>2360.0</v>
      </c>
      <c r="E93" s="16"/>
      <c r="F93" s="14">
        <f t="shared" si="7"/>
        <v>2360</v>
      </c>
      <c r="G93" s="19">
        <f t="shared" si="8"/>
        <v>65726</v>
      </c>
    </row>
    <row r="94">
      <c r="A94" s="12">
        <v>21.0</v>
      </c>
      <c r="B94" s="12" t="s">
        <v>237</v>
      </c>
      <c r="C94" s="13" t="s">
        <v>339</v>
      </c>
      <c r="D94" s="14">
        <v>2478.0</v>
      </c>
      <c r="E94" s="16"/>
      <c r="F94" s="14">
        <f t="shared" si="7"/>
        <v>2478</v>
      </c>
      <c r="G94" s="19">
        <f t="shared" si="8"/>
        <v>68204</v>
      </c>
    </row>
    <row r="95">
      <c r="A95" s="12">
        <v>22.0</v>
      </c>
      <c r="B95" s="12" t="s">
        <v>237</v>
      </c>
      <c r="C95" s="13" t="s">
        <v>339</v>
      </c>
      <c r="D95" s="14">
        <v>2602.0</v>
      </c>
      <c r="E95" s="16"/>
      <c r="F95" s="14">
        <f t="shared" si="7"/>
        <v>2602</v>
      </c>
      <c r="G95" s="19">
        <f t="shared" si="8"/>
        <v>70806</v>
      </c>
    </row>
    <row r="96">
      <c r="A96" s="12">
        <v>23.0</v>
      </c>
      <c r="B96" s="12" t="s">
        <v>237</v>
      </c>
      <c r="C96" s="13" t="s">
        <v>626</v>
      </c>
      <c r="D96" s="14">
        <v>2732.0</v>
      </c>
      <c r="E96" s="16"/>
      <c r="F96" s="14">
        <f t="shared" si="7"/>
        <v>2732</v>
      </c>
      <c r="G96" s="19">
        <f t="shared" si="8"/>
        <v>73538</v>
      </c>
    </row>
    <row r="97">
      <c r="A97" s="12">
        <v>24.0</v>
      </c>
      <c r="B97" s="12" t="s">
        <v>234</v>
      </c>
      <c r="C97" s="13" t="s">
        <v>341</v>
      </c>
      <c r="D97" s="14">
        <v>2478.0</v>
      </c>
      <c r="E97" s="16"/>
      <c r="F97" s="14">
        <f t="shared" si="7"/>
        <v>2478</v>
      </c>
      <c r="G97" s="19">
        <f t="shared" si="8"/>
        <v>76016</v>
      </c>
    </row>
    <row r="98">
      <c r="A98" s="12">
        <v>25.0</v>
      </c>
      <c r="B98" s="12" t="s">
        <v>234</v>
      </c>
      <c r="C98" s="13" t="s">
        <v>341</v>
      </c>
      <c r="D98" s="14">
        <v>2602.0</v>
      </c>
      <c r="E98" s="16"/>
      <c r="F98" s="14">
        <f t="shared" si="7"/>
        <v>2602</v>
      </c>
      <c r="G98" s="19">
        <f t="shared" si="8"/>
        <v>78618</v>
      </c>
    </row>
    <row r="99">
      <c r="A99" s="12">
        <v>26.0</v>
      </c>
      <c r="B99" s="12" t="s">
        <v>234</v>
      </c>
      <c r="C99" s="13" t="s">
        <v>628</v>
      </c>
      <c r="D99" s="14">
        <v>2732.0</v>
      </c>
      <c r="E99" s="16"/>
      <c r="F99" s="14">
        <f t="shared" si="7"/>
        <v>2732</v>
      </c>
      <c r="G99" s="19">
        <f t="shared" si="8"/>
        <v>81350</v>
      </c>
    </row>
    <row r="100">
      <c r="A100" s="12">
        <v>27.0</v>
      </c>
      <c r="B100" s="12" t="s">
        <v>242</v>
      </c>
      <c r="C100" s="13" t="s">
        <v>630</v>
      </c>
      <c r="D100" s="14">
        <v>2869.0</v>
      </c>
      <c r="E100" s="16"/>
      <c r="F100" s="14">
        <f t="shared" si="7"/>
        <v>2869</v>
      </c>
      <c r="G100" s="19">
        <f t="shared" si="8"/>
        <v>84219</v>
      </c>
    </row>
    <row r="101">
      <c r="A101" s="12">
        <v>28.0</v>
      </c>
      <c r="B101" s="12" t="s">
        <v>244</v>
      </c>
      <c r="C101" s="13" t="s">
        <v>631</v>
      </c>
      <c r="D101" s="14">
        <v>3844.0</v>
      </c>
      <c r="E101" s="14">
        <v>4036.0</v>
      </c>
      <c r="F101" s="14">
        <f t="shared" si="7"/>
        <v>7880</v>
      </c>
      <c r="G101" s="19">
        <f t="shared" si="8"/>
        <v>92099</v>
      </c>
    </row>
    <row r="102">
      <c r="A102" s="24"/>
      <c r="B102" s="24"/>
      <c r="C102" s="26"/>
      <c r="D102" s="27">
        <v>31.0</v>
      </c>
      <c r="E102" s="28"/>
      <c r="F102" s="27">
        <f>SUM(F74:F101)</f>
        <v>92099</v>
      </c>
      <c r="G102" s="29">
        <f>G101</f>
        <v>92099</v>
      </c>
    </row>
  </sheetData>
  <mergeCells count="4">
    <mergeCell ref="A1:G2"/>
    <mergeCell ref="A20:G21"/>
    <mergeCell ref="A43:G44"/>
    <mergeCell ref="A71:G72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8.86"/>
    <col customWidth="1" min="3" max="3" width="65.57"/>
    <col customWidth="1" min="4" max="5" width="7.14"/>
    <col customWidth="1" min="6" max="6" width="7.0"/>
    <col customWidth="1" min="7" max="7" width="8.57"/>
  </cols>
  <sheetData>
    <row r="1">
      <c r="A1" s="4" t="s">
        <v>270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12</v>
      </c>
      <c r="C4" s="13" t="s">
        <v>13</v>
      </c>
      <c r="D4" s="14">
        <v>947.0</v>
      </c>
      <c r="E4" s="16"/>
      <c r="F4" s="14">
        <f t="shared" ref="F4:F17" si="1">SUM(D4:E4)</f>
        <v>947</v>
      </c>
      <c r="G4" s="19">
        <f>F4</f>
        <v>947</v>
      </c>
    </row>
    <row r="5">
      <c r="A5" s="12">
        <v>2.0</v>
      </c>
      <c r="B5" s="12" t="s">
        <v>12</v>
      </c>
      <c r="C5" s="13" t="s">
        <v>567</v>
      </c>
      <c r="D5" s="14">
        <v>994.0</v>
      </c>
      <c r="E5" s="16"/>
      <c r="F5" s="14">
        <f t="shared" si="1"/>
        <v>994</v>
      </c>
      <c r="G5" s="19">
        <f t="shared" ref="G5:G17" si="2">G4+F5</f>
        <v>1941</v>
      </c>
    </row>
    <row r="6">
      <c r="A6" s="12">
        <v>3.0</v>
      </c>
      <c r="B6" s="12" t="s">
        <v>12</v>
      </c>
      <c r="C6" s="13" t="s">
        <v>567</v>
      </c>
      <c r="D6" s="14">
        <v>1044.0</v>
      </c>
      <c r="E6" s="16"/>
      <c r="F6" s="14">
        <f t="shared" si="1"/>
        <v>1044</v>
      </c>
      <c r="G6" s="19">
        <f t="shared" si="2"/>
        <v>2985</v>
      </c>
    </row>
    <row r="7">
      <c r="A7" s="12">
        <v>4.0</v>
      </c>
      <c r="B7" s="12" t="s">
        <v>22</v>
      </c>
      <c r="C7" s="13" t="s">
        <v>385</v>
      </c>
      <c r="D7" s="14">
        <v>1096.0</v>
      </c>
      <c r="E7" s="16"/>
      <c r="F7" s="14">
        <f t="shared" si="1"/>
        <v>1096</v>
      </c>
      <c r="G7" s="19">
        <f t="shared" si="2"/>
        <v>4081</v>
      </c>
    </row>
    <row r="8">
      <c r="A8" s="12">
        <v>5.0</v>
      </c>
      <c r="B8" s="12" t="s">
        <v>12</v>
      </c>
      <c r="C8" s="13" t="s">
        <v>479</v>
      </c>
      <c r="D8" s="14">
        <v>1151.0</v>
      </c>
      <c r="E8" s="16"/>
      <c r="F8" s="14">
        <f t="shared" si="1"/>
        <v>1151</v>
      </c>
      <c r="G8" s="19">
        <f t="shared" si="2"/>
        <v>5232</v>
      </c>
    </row>
    <row r="9">
      <c r="A9" s="12">
        <v>6.0</v>
      </c>
      <c r="B9" s="12" t="s">
        <v>12</v>
      </c>
      <c r="C9" s="13" t="s">
        <v>479</v>
      </c>
      <c r="D9" s="14">
        <v>1208.0</v>
      </c>
      <c r="E9" s="16"/>
      <c r="F9" s="14">
        <f t="shared" si="1"/>
        <v>1208</v>
      </c>
      <c r="G9" s="19">
        <f t="shared" si="2"/>
        <v>6440</v>
      </c>
    </row>
    <row r="10">
      <c r="A10" s="12">
        <v>7.0</v>
      </c>
      <c r="B10" s="12" t="s">
        <v>522</v>
      </c>
      <c r="C10" s="13" t="s">
        <v>572</v>
      </c>
      <c r="D10" s="14">
        <v>5696.0</v>
      </c>
      <c r="E10" s="16"/>
      <c r="F10" s="14">
        <f t="shared" si="1"/>
        <v>5696</v>
      </c>
      <c r="G10" s="19">
        <f t="shared" si="2"/>
        <v>12136</v>
      </c>
    </row>
    <row r="11">
      <c r="A11" s="12">
        <v>8.0</v>
      </c>
      <c r="B11" s="12" t="s">
        <v>25</v>
      </c>
      <c r="C11" s="13" t="s">
        <v>26</v>
      </c>
      <c r="D11" s="14">
        <v>947.0</v>
      </c>
      <c r="E11" s="16"/>
      <c r="F11" s="14">
        <f t="shared" si="1"/>
        <v>947</v>
      </c>
      <c r="G11" s="19">
        <f t="shared" si="2"/>
        <v>13083</v>
      </c>
    </row>
    <row r="12">
      <c r="A12" s="12">
        <v>9.0</v>
      </c>
      <c r="B12" s="12" t="s">
        <v>25</v>
      </c>
      <c r="C12" s="13" t="s">
        <v>573</v>
      </c>
      <c r="D12" s="14">
        <v>994.0</v>
      </c>
      <c r="E12" s="16"/>
      <c r="F12" s="14">
        <f t="shared" si="1"/>
        <v>994</v>
      </c>
      <c r="G12" s="19">
        <f t="shared" si="2"/>
        <v>14077</v>
      </c>
    </row>
    <row r="13">
      <c r="A13" s="12">
        <v>10.0</v>
      </c>
      <c r="B13" s="12" t="s">
        <v>25</v>
      </c>
      <c r="C13" s="13" t="s">
        <v>573</v>
      </c>
      <c r="D13" s="14">
        <v>1044.0</v>
      </c>
      <c r="E13" s="16"/>
      <c r="F13" s="14">
        <f t="shared" si="1"/>
        <v>1044</v>
      </c>
      <c r="G13" s="19">
        <f t="shared" si="2"/>
        <v>15121</v>
      </c>
    </row>
    <row r="14">
      <c r="A14" s="12">
        <v>11.0</v>
      </c>
      <c r="B14" s="12" t="s">
        <v>22</v>
      </c>
      <c r="C14" s="13" t="s">
        <v>385</v>
      </c>
      <c r="D14" s="14">
        <v>1096.0</v>
      </c>
      <c r="E14" s="16"/>
      <c r="F14" s="14">
        <f t="shared" si="1"/>
        <v>1096</v>
      </c>
      <c r="G14" s="19">
        <f t="shared" si="2"/>
        <v>16217</v>
      </c>
    </row>
    <row r="15">
      <c r="A15" s="12">
        <v>12.0</v>
      </c>
      <c r="B15" s="12" t="s">
        <v>25</v>
      </c>
      <c r="C15" s="13" t="s">
        <v>487</v>
      </c>
      <c r="D15" s="14">
        <v>1151.0</v>
      </c>
      <c r="E15" s="16"/>
      <c r="F15" s="14">
        <f t="shared" si="1"/>
        <v>1151</v>
      </c>
      <c r="G15" s="19">
        <f t="shared" si="2"/>
        <v>17368</v>
      </c>
    </row>
    <row r="16">
      <c r="A16" s="12">
        <v>13.0</v>
      </c>
      <c r="B16" s="12" t="s">
        <v>25</v>
      </c>
      <c r="C16" s="13" t="s">
        <v>487</v>
      </c>
      <c r="D16" s="14">
        <v>1208.0</v>
      </c>
      <c r="E16" s="16"/>
      <c r="F16" s="14">
        <f t="shared" si="1"/>
        <v>1208</v>
      </c>
      <c r="G16" s="19">
        <f t="shared" si="2"/>
        <v>18576</v>
      </c>
    </row>
    <row r="17">
      <c r="A17" s="12">
        <v>14.0</v>
      </c>
      <c r="B17" s="12" t="s">
        <v>516</v>
      </c>
      <c r="C17" s="13" t="s">
        <v>577</v>
      </c>
      <c r="D17" s="14">
        <v>2170.0</v>
      </c>
      <c r="E17" s="14">
        <v>2279.0</v>
      </c>
      <c r="F17" s="14">
        <f t="shared" si="1"/>
        <v>4449</v>
      </c>
      <c r="G17" s="19">
        <f t="shared" si="2"/>
        <v>23025</v>
      </c>
    </row>
    <row r="18">
      <c r="A18" s="24"/>
      <c r="B18" s="24"/>
      <c r="C18" s="26"/>
      <c r="D18" s="27">
        <v>15.0</v>
      </c>
      <c r="E18" s="28"/>
      <c r="F18" s="27">
        <f>SUM(F4:F17)</f>
        <v>23025</v>
      </c>
      <c r="G18" s="29">
        <f>G17</f>
        <v>23025</v>
      </c>
    </row>
    <row r="19">
      <c r="C19" s="30"/>
      <c r="G19" s="30"/>
    </row>
    <row r="20">
      <c r="A20" s="4" t="s">
        <v>529</v>
      </c>
      <c r="B20" s="5"/>
      <c r="C20" s="5"/>
      <c r="D20" s="5"/>
      <c r="E20" s="5"/>
      <c r="F20" s="5"/>
      <c r="G20" s="6"/>
    </row>
    <row r="21">
      <c r="A21" s="7"/>
      <c r="B21" s="8"/>
      <c r="C21" s="8"/>
      <c r="D21" s="8"/>
      <c r="E21" s="8"/>
      <c r="F21" s="8"/>
      <c r="G21" s="9"/>
    </row>
    <row r="22">
      <c r="A22" s="10"/>
      <c r="B22" s="10" t="s">
        <v>6</v>
      </c>
      <c r="C22" s="11" t="s">
        <v>7</v>
      </c>
      <c r="D22" s="10" t="s">
        <v>8</v>
      </c>
      <c r="E22" s="10" t="s">
        <v>9</v>
      </c>
      <c r="F22" s="10" t="s">
        <v>10</v>
      </c>
      <c r="G22" s="11" t="s">
        <v>11</v>
      </c>
    </row>
    <row r="23">
      <c r="A23" s="12">
        <v>1.0</v>
      </c>
      <c r="B23" s="12" t="s">
        <v>148</v>
      </c>
      <c r="C23" s="13" t="s">
        <v>588</v>
      </c>
      <c r="D23" s="14">
        <v>1652.0</v>
      </c>
      <c r="E23" s="16"/>
      <c r="F23" s="14">
        <f t="shared" ref="F23:F40" si="3">SUM(D23:E23)</f>
        <v>1652</v>
      </c>
      <c r="G23" s="19">
        <f>F23</f>
        <v>1652</v>
      </c>
    </row>
    <row r="24">
      <c r="A24" s="12">
        <v>2.0</v>
      </c>
      <c r="B24" s="12" t="s">
        <v>151</v>
      </c>
      <c r="C24" s="13" t="s">
        <v>590</v>
      </c>
      <c r="D24" s="14">
        <v>1735.0</v>
      </c>
      <c r="E24" s="16"/>
      <c r="F24" s="14">
        <f t="shared" si="3"/>
        <v>1735</v>
      </c>
      <c r="G24" s="19">
        <f t="shared" ref="G24:G40" si="4">G23+F24</f>
        <v>3387</v>
      </c>
    </row>
    <row r="25">
      <c r="A25" s="12">
        <v>3.0</v>
      </c>
      <c r="B25" s="12" t="s">
        <v>153</v>
      </c>
      <c r="C25" s="13" t="s">
        <v>595</v>
      </c>
      <c r="D25" s="14">
        <v>3116.0</v>
      </c>
      <c r="E25" s="14">
        <v>3272.0</v>
      </c>
      <c r="F25" s="14">
        <f t="shared" si="3"/>
        <v>6388</v>
      </c>
      <c r="G25" s="19">
        <f t="shared" si="4"/>
        <v>9775</v>
      </c>
    </row>
    <row r="26">
      <c r="A26" s="12">
        <v>4.0</v>
      </c>
      <c r="B26" s="12" t="s">
        <v>151</v>
      </c>
      <c r="C26" s="13" t="s">
        <v>590</v>
      </c>
      <c r="D26" s="14">
        <v>1913.0</v>
      </c>
      <c r="E26" s="16"/>
      <c r="F26" s="14">
        <f t="shared" si="3"/>
        <v>1913</v>
      </c>
      <c r="G26" s="19">
        <f t="shared" si="4"/>
        <v>11688</v>
      </c>
    </row>
    <row r="27">
      <c r="A27" s="12">
        <v>5.0</v>
      </c>
      <c r="B27" s="12" t="s">
        <v>93</v>
      </c>
      <c r="C27" s="13" t="s">
        <v>544</v>
      </c>
      <c r="D27" s="14">
        <v>2008.0</v>
      </c>
      <c r="E27" s="16"/>
      <c r="F27" s="14">
        <f t="shared" si="3"/>
        <v>2008</v>
      </c>
      <c r="G27" s="19">
        <f t="shared" si="4"/>
        <v>13696</v>
      </c>
    </row>
    <row r="28">
      <c r="A28" s="12">
        <v>6.0</v>
      </c>
      <c r="B28" s="12" t="s">
        <v>151</v>
      </c>
      <c r="C28" s="13" t="s">
        <v>590</v>
      </c>
      <c r="D28" s="14">
        <v>2109.0</v>
      </c>
      <c r="E28" s="16"/>
      <c r="F28" s="14">
        <f t="shared" si="3"/>
        <v>2109</v>
      </c>
      <c r="G28" s="19">
        <f t="shared" si="4"/>
        <v>15805</v>
      </c>
    </row>
    <row r="29">
      <c r="A29" s="12">
        <v>7.0</v>
      </c>
      <c r="B29" s="12" t="s">
        <v>157</v>
      </c>
      <c r="C29" s="13" t="s">
        <v>600</v>
      </c>
      <c r="D29" s="14">
        <v>2214.0</v>
      </c>
      <c r="E29" s="16"/>
      <c r="F29" s="14">
        <f t="shared" si="3"/>
        <v>2214</v>
      </c>
      <c r="G29" s="19">
        <f t="shared" si="4"/>
        <v>18019</v>
      </c>
    </row>
    <row r="30">
      <c r="A30" s="12">
        <v>8.0</v>
      </c>
      <c r="B30" s="12" t="s">
        <v>151</v>
      </c>
      <c r="C30" s="13" t="s">
        <v>590</v>
      </c>
      <c r="D30" s="14">
        <v>2325.0</v>
      </c>
      <c r="E30" s="16"/>
      <c r="F30" s="14">
        <f t="shared" si="3"/>
        <v>2325</v>
      </c>
      <c r="G30" s="19">
        <f t="shared" si="4"/>
        <v>20344</v>
      </c>
    </row>
    <row r="31">
      <c r="A31" s="12">
        <v>9.0</v>
      </c>
      <c r="B31" s="12" t="s">
        <v>93</v>
      </c>
      <c r="C31" s="13" t="s">
        <v>546</v>
      </c>
      <c r="D31" s="14">
        <v>2441.0</v>
      </c>
      <c r="E31" s="16"/>
      <c r="F31" s="14">
        <f t="shared" si="3"/>
        <v>2441</v>
      </c>
      <c r="G31" s="19">
        <f t="shared" si="4"/>
        <v>22785</v>
      </c>
    </row>
    <row r="32">
      <c r="A32" s="12">
        <v>10.0</v>
      </c>
      <c r="B32" s="12" t="s">
        <v>151</v>
      </c>
      <c r="C32" s="13" t="s">
        <v>590</v>
      </c>
      <c r="D32" s="14">
        <v>2563.0</v>
      </c>
      <c r="E32" s="16"/>
      <c r="F32" s="14">
        <f t="shared" si="3"/>
        <v>2563</v>
      </c>
      <c r="G32" s="19">
        <f t="shared" si="4"/>
        <v>25348</v>
      </c>
    </row>
    <row r="33">
      <c r="A33" s="12">
        <v>11.0</v>
      </c>
      <c r="B33" s="12" t="s">
        <v>148</v>
      </c>
      <c r="C33" s="13" t="s">
        <v>588</v>
      </c>
      <c r="D33" s="14">
        <v>1913.0</v>
      </c>
      <c r="E33" s="16"/>
      <c r="F33" s="14">
        <f t="shared" si="3"/>
        <v>1913</v>
      </c>
      <c r="G33" s="19">
        <f t="shared" si="4"/>
        <v>27261</v>
      </c>
    </row>
    <row r="34">
      <c r="A34" s="12">
        <v>12.0</v>
      </c>
      <c r="B34" s="12" t="s">
        <v>99</v>
      </c>
      <c r="C34" s="13" t="s">
        <v>550</v>
      </c>
      <c r="D34" s="14">
        <v>2008.0</v>
      </c>
      <c r="E34" s="16"/>
      <c r="F34" s="14">
        <f t="shared" si="3"/>
        <v>2008</v>
      </c>
      <c r="G34" s="19">
        <f t="shared" si="4"/>
        <v>29269</v>
      </c>
    </row>
    <row r="35">
      <c r="A35" s="12">
        <v>13.0</v>
      </c>
      <c r="B35" s="12" t="s">
        <v>148</v>
      </c>
      <c r="C35" s="13" t="s">
        <v>588</v>
      </c>
      <c r="D35" s="14">
        <v>2109.0</v>
      </c>
      <c r="E35" s="16"/>
      <c r="F35" s="14">
        <f t="shared" si="3"/>
        <v>2109</v>
      </c>
      <c r="G35" s="19">
        <f t="shared" si="4"/>
        <v>31378</v>
      </c>
    </row>
    <row r="36">
      <c r="A36" s="12">
        <v>14.0</v>
      </c>
      <c r="B36" s="12" t="s">
        <v>160</v>
      </c>
      <c r="C36" s="13" t="s">
        <v>611</v>
      </c>
      <c r="D36" s="14">
        <v>2214.0</v>
      </c>
      <c r="E36" s="16"/>
      <c r="F36" s="14">
        <f t="shared" si="3"/>
        <v>2214</v>
      </c>
      <c r="G36" s="19">
        <f t="shared" si="4"/>
        <v>33592</v>
      </c>
    </row>
    <row r="37">
      <c r="A37" s="12">
        <v>15.0</v>
      </c>
      <c r="B37" s="12" t="s">
        <v>148</v>
      </c>
      <c r="C37" s="13" t="s">
        <v>588</v>
      </c>
      <c r="D37" s="14">
        <v>2325.0</v>
      </c>
      <c r="E37" s="16"/>
      <c r="F37" s="14">
        <f t="shared" si="3"/>
        <v>2325</v>
      </c>
      <c r="G37" s="19">
        <f t="shared" si="4"/>
        <v>35917</v>
      </c>
    </row>
    <row r="38">
      <c r="A38" s="12">
        <v>16.0</v>
      </c>
      <c r="B38" s="12" t="s">
        <v>99</v>
      </c>
      <c r="C38" s="13" t="s">
        <v>551</v>
      </c>
      <c r="D38" s="14">
        <v>2441.0</v>
      </c>
      <c r="E38" s="16"/>
      <c r="F38" s="14">
        <f t="shared" si="3"/>
        <v>2441</v>
      </c>
      <c r="G38" s="19">
        <f t="shared" si="4"/>
        <v>38358</v>
      </c>
    </row>
    <row r="39">
      <c r="A39" s="12">
        <v>17.0</v>
      </c>
      <c r="B39" s="12" t="s">
        <v>148</v>
      </c>
      <c r="C39" s="13" t="s">
        <v>588</v>
      </c>
      <c r="D39" s="14">
        <v>2563.0</v>
      </c>
      <c r="E39" s="16"/>
      <c r="F39" s="14">
        <f t="shared" si="3"/>
        <v>2563</v>
      </c>
      <c r="G39" s="19">
        <f t="shared" si="4"/>
        <v>40921</v>
      </c>
    </row>
    <row r="40">
      <c r="A40" s="12">
        <v>18.0</v>
      </c>
      <c r="B40" s="12" t="s">
        <v>547</v>
      </c>
      <c r="C40" s="13" t="s">
        <v>208</v>
      </c>
      <c r="D40" s="14">
        <v>5127.0</v>
      </c>
      <c r="E40" s="16"/>
      <c r="F40" s="14">
        <f t="shared" si="3"/>
        <v>5127</v>
      </c>
      <c r="G40" s="19">
        <f t="shared" si="4"/>
        <v>46048</v>
      </c>
    </row>
    <row r="41">
      <c r="A41" s="24"/>
      <c r="B41" s="24"/>
      <c r="C41" s="26"/>
      <c r="D41" s="27">
        <v>19.0</v>
      </c>
      <c r="E41" s="28"/>
      <c r="F41" s="27">
        <f>SUM(F23:F40)</f>
        <v>46048</v>
      </c>
      <c r="G41" s="29">
        <f>G40</f>
        <v>46048</v>
      </c>
    </row>
    <row r="42">
      <c r="C42" s="30"/>
      <c r="G42" s="30"/>
    </row>
    <row r="43">
      <c r="A43" s="4" t="s">
        <v>552</v>
      </c>
      <c r="B43" s="5"/>
      <c r="C43" s="5"/>
      <c r="D43" s="5"/>
      <c r="E43" s="5"/>
      <c r="F43" s="5"/>
      <c r="G43" s="6"/>
    </row>
    <row r="44">
      <c r="A44" s="7"/>
      <c r="B44" s="8"/>
      <c r="C44" s="8"/>
      <c r="D44" s="8"/>
      <c r="E44" s="8"/>
      <c r="F44" s="8"/>
      <c r="G44" s="9"/>
    </row>
    <row r="45">
      <c r="A45" s="10"/>
      <c r="B45" s="10" t="s">
        <v>6</v>
      </c>
      <c r="C45" s="11" t="s">
        <v>7</v>
      </c>
      <c r="D45" s="10" t="s">
        <v>8</v>
      </c>
      <c r="E45" s="10" t="s">
        <v>9</v>
      </c>
      <c r="F45" s="10" t="s">
        <v>10</v>
      </c>
      <c r="G45" s="11" t="s">
        <v>11</v>
      </c>
    </row>
    <row r="46">
      <c r="A46" s="12">
        <v>1.0</v>
      </c>
      <c r="B46" s="12" t="s">
        <v>170</v>
      </c>
      <c r="C46" s="13" t="s">
        <v>624</v>
      </c>
      <c r="D46" s="14">
        <v>1796.0</v>
      </c>
      <c r="E46" s="16"/>
      <c r="F46" s="14">
        <f t="shared" ref="F46:F68" si="5">SUM(D46:E46)</f>
        <v>1796</v>
      </c>
      <c r="G46" s="19">
        <f>F46</f>
        <v>1796</v>
      </c>
    </row>
    <row r="47">
      <c r="A47" s="12">
        <v>2.0</v>
      </c>
      <c r="B47" s="12" t="s">
        <v>173</v>
      </c>
      <c r="C47" s="13" t="s">
        <v>220</v>
      </c>
      <c r="D47" s="14">
        <v>1886.0</v>
      </c>
      <c r="E47" s="16"/>
      <c r="F47" s="14">
        <f t="shared" si="5"/>
        <v>1886</v>
      </c>
      <c r="G47" s="19">
        <f t="shared" ref="G47:G68" si="6">G46+F47</f>
        <v>3682</v>
      </c>
    </row>
    <row r="48">
      <c r="A48" s="12">
        <v>3.0</v>
      </c>
      <c r="B48" s="12" t="s">
        <v>170</v>
      </c>
      <c r="C48" s="13" t="s">
        <v>629</v>
      </c>
      <c r="D48" s="14">
        <v>1980.0</v>
      </c>
      <c r="E48" s="16"/>
      <c r="F48" s="14">
        <f t="shared" si="5"/>
        <v>1980</v>
      </c>
      <c r="G48" s="19">
        <f t="shared" si="6"/>
        <v>5662</v>
      </c>
    </row>
    <row r="49">
      <c r="A49" s="12">
        <v>4.0</v>
      </c>
      <c r="B49" s="12" t="s">
        <v>67</v>
      </c>
      <c r="C49" s="13" t="s">
        <v>632</v>
      </c>
      <c r="D49" s="14">
        <v>1796.0</v>
      </c>
      <c r="E49" s="16"/>
      <c r="F49" s="14">
        <f t="shared" si="5"/>
        <v>1796</v>
      </c>
      <c r="G49" s="19">
        <f t="shared" si="6"/>
        <v>7458</v>
      </c>
    </row>
    <row r="50">
      <c r="A50" s="12">
        <v>5.0</v>
      </c>
      <c r="B50" s="12" t="s">
        <v>177</v>
      </c>
      <c r="C50" s="13" t="s">
        <v>223</v>
      </c>
      <c r="D50" s="14">
        <v>1886.0</v>
      </c>
      <c r="E50" s="16"/>
      <c r="F50" s="14">
        <f t="shared" si="5"/>
        <v>1886</v>
      </c>
      <c r="G50" s="19">
        <f t="shared" si="6"/>
        <v>9344</v>
      </c>
    </row>
    <row r="51">
      <c r="A51" s="12">
        <v>6.0</v>
      </c>
      <c r="B51" s="12" t="s">
        <v>67</v>
      </c>
      <c r="C51" s="13" t="s">
        <v>632</v>
      </c>
      <c r="D51" s="14">
        <v>1980.0</v>
      </c>
      <c r="E51" s="16"/>
      <c r="F51" s="14">
        <f t="shared" si="5"/>
        <v>1980</v>
      </c>
      <c r="G51" s="19">
        <f t="shared" si="6"/>
        <v>11324</v>
      </c>
    </row>
    <row r="52">
      <c r="A52" s="12">
        <v>7.0</v>
      </c>
      <c r="B52" s="12" t="s">
        <v>180</v>
      </c>
      <c r="C52" s="13" t="s">
        <v>633</v>
      </c>
      <c r="D52" s="14">
        <v>3556.0</v>
      </c>
      <c r="E52" s="14">
        <v>3734.0</v>
      </c>
      <c r="F52" s="14">
        <f t="shared" si="5"/>
        <v>7290</v>
      </c>
      <c r="G52" s="19">
        <f t="shared" si="6"/>
        <v>18614</v>
      </c>
    </row>
    <row r="53">
      <c r="A53" s="12">
        <v>8.0</v>
      </c>
      <c r="B53" s="12" t="s">
        <v>173</v>
      </c>
      <c r="C53" s="13" t="s">
        <v>220</v>
      </c>
      <c r="D53" s="14">
        <v>2183.0</v>
      </c>
      <c r="E53" s="16"/>
      <c r="F53" s="14">
        <f t="shared" si="5"/>
        <v>2183</v>
      </c>
      <c r="G53" s="19">
        <f t="shared" si="6"/>
        <v>20797</v>
      </c>
    </row>
    <row r="54">
      <c r="A54" s="12">
        <v>9.0</v>
      </c>
      <c r="B54" s="12" t="s">
        <v>170</v>
      </c>
      <c r="C54" s="13" t="s">
        <v>629</v>
      </c>
      <c r="D54" s="14">
        <v>2292.0</v>
      </c>
      <c r="E54" s="16"/>
      <c r="F54" s="14">
        <f t="shared" si="5"/>
        <v>2292</v>
      </c>
      <c r="G54" s="19">
        <f t="shared" si="6"/>
        <v>23089</v>
      </c>
    </row>
    <row r="55">
      <c r="A55" s="12">
        <v>10.0</v>
      </c>
      <c r="B55" s="12" t="s">
        <v>173</v>
      </c>
      <c r="C55" s="13" t="s">
        <v>220</v>
      </c>
      <c r="D55" s="14">
        <v>2407.0</v>
      </c>
      <c r="E55" s="16"/>
      <c r="F55" s="14">
        <f t="shared" si="5"/>
        <v>2407</v>
      </c>
      <c r="G55" s="19">
        <f t="shared" si="6"/>
        <v>25496</v>
      </c>
    </row>
    <row r="56">
      <c r="A56" s="12">
        <v>11.0</v>
      </c>
      <c r="B56" s="12" t="s">
        <v>170</v>
      </c>
      <c r="C56" s="13" t="s">
        <v>629</v>
      </c>
      <c r="D56" s="14">
        <v>2527.0</v>
      </c>
      <c r="E56" s="16"/>
      <c r="F56" s="14">
        <f t="shared" si="5"/>
        <v>2527</v>
      </c>
      <c r="G56" s="19">
        <f t="shared" si="6"/>
        <v>28023</v>
      </c>
    </row>
    <row r="57">
      <c r="A57" s="12">
        <v>12.0</v>
      </c>
      <c r="B57" s="12" t="s">
        <v>173</v>
      </c>
      <c r="C57" s="13" t="s">
        <v>220</v>
      </c>
      <c r="D57" s="14">
        <v>2653.0</v>
      </c>
      <c r="E57" s="16"/>
      <c r="F57" s="14">
        <f t="shared" si="5"/>
        <v>2653</v>
      </c>
      <c r="G57" s="19">
        <f t="shared" si="6"/>
        <v>30676</v>
      </c>
    </row>
    <row r="58">
      <c r="A58" s="12">
        <v>13.0</v>
      </c>
      <c r="B58" s="12" t="s">
        <v>170</v>
      </c>
      <c r="C58" s="13" t="s">
        <v>629</v>
      </c>
      <c r="D58" s="14">
        <v>2786.0</v>
      </c>
      <c r="E58" s="16"/>
      <c r="F58" s="14">
        <f t="shared" si="5"/>
        <v>2786</v>
      </c>
      <c r="G58" s="19">
        <f t="shared" si="6"/>
        <v>33462</v>
      </c>
    </row>
    <row r="59">
      <c r="A59" s="12">
        <v>14.0</v>
      </c>
      <c r="B59" s="12" t="s">
        <v>170</v>
      </c>
      <c r="C59" s="13" t="s">
        <v>629</v>
      </c>
      <c r="D59" s="14">
        <v>2292.0</v>
      </c>
      <c r="E59" s="16"/>
      <c r="F59" s="14">
        <f t="shared" si="5"/>
        <v>2292</v>
      </c>
      <c r="G59" s="19">
        <f t="shared" si="6"/>
        <v>35754</v>
      </c>
    </row>
    <row r="60">
      <c r="A60" s="12">
        <v>15.0</v>
      </c>
      <c r="B60" s="12" t="s">
        <v>177</v>
      </c>
      <c r="C60" s="13" t="s">
        <v>223</v>
      </c>
      <c r="D60" s="14">
        <v>2183.0</v>
      </c>
      <c r="E60" s="16"/>
      <c r="F60" s="14">
        <f t="shared" si="5"/>
        <v>2183</v>
      </c>
      <c r="G60" s="19">
        <f t="shared" si="6"/>
        <v>37937</v>
      </c>
    </row>
    <row r="61">
      <c r="A61" s="12">
        <v>16.0</v>
      </c>
      <c r="B61" s="12" t="s">
        <v>67</v>
      </c>
      <c r="C61" s="13" t="s">
        <v>632</v>
      </c>
      <c r="D61" s="14">
        <v>2292.0</v>
      </c>
      <c r="E61" s="16"/>
      <c r="F61" s="14">
        <f t="shared" si="5"/>
        <v>2292</v>
      </c>
      <c r="G61" s="19">
        <f t="shared" si="6"/>
        <v>40229</v>
      </c>
    </row>
    <row r="62">
      <c r="A62" s="12">
        <v>17.0</v>
      </c>
      <c r="B62" s="12" t="s">
        <v>569</v>
      </c>
      <c r="C62" s="13" t="s">
        <v>635</v>
      </c>
      <c r="D62" s="14">
        <v>5926.0</v>
      </c>
      <c r="E62" s="16"/>
      <c r="F62" s="14">
        <f t="shared" si="5"/>
        <v>5926</v>
      </c>
      <c r="G62" s="19">
        <f t="shared" si="6"/>
        <v>46155</v>
      </c>
    </row>
    <row r="63">
      <c r="A63" s="12">
        <v>18.0</v>
      </c>
      <c r="B63" s="12" t="s">
        <v>67</v>
      </c>
      <c r="C63" s="13" t="s">
        <v>632</v>
      </c>
      <c r="D63" s="14">
        <v>2292.0</v>
      </c>
      <c r="E63" s="16"/>
      <c r="F63" s="14">
        <f t="shared" si="5"/>
        <v>2292</v>
      </c>
      <c r="G63" s="19">
        <f t="shared" si="6"/>
        <v>48447</v>
      </c>
    </row>
    <row r="64">
      <c r="A64" s="12">
        <v>19.0</v>
      </c>
      <c r="B64" s="12" t="s">
        <v>177</v>
      </c>
      <c r="C64" s="13" t="s">
        <v>223</v>
      </c>
      <c r="D64" s="14">
        <v>2407.0</v>
      </c>
      <c r="E64" s="16"/>
      <c r="F64" s="14">
        <f t="shared" si="5"/>
        <v>2407</v>
      </c>
      <c r="G64" s="19">
        <f t="shared" si="6"/>
        <v>50854</v>
      </c>
    </row>
    <row r="65">
      <c r="A65" s="12">
        <v>20.0</v>
      </c>
      <c r="B65" s="12" t="s">
        <v>67</v>
      </c>
      <c r="C65" s="13" t="s">
        <v>632</v>
      </c>
      <c r="D65" s="14">
        <v>2527.0</v>
      </c>
      <c r="E65" s="16"/>
      <c r="F65" s="14">
        <f t="shared" si="5"/>
        <v>2527</v>
      </c>
      <c r="G65" s="19">
        <f t="shared" si="6"/>
        <v>53381</v>
      </c>
    </row>
    <row r="66">
      <c r="A66" s="12">
        <v>21.0</v>
      </c>
      <c r="B66" s="12" t="s">
        <v>177</v>
      </c>
      <c r="C66" s="13" t="s">
        <v>223</v>
      </c>
      <c r="D66" s="14">
        <v>2653.0</v>
      </c>
      <c r="E66" s="16"/>
      <c r="F66" s="14">
        <f t="shared" si="5"/>
        <v>2653</v>
      </c>
      <c r="G66" s="19">
        <f t="shared" si="6"/>
        <v>56034</v>
      </c>
    </row>
    <row r="67">
      <c r="A67" s="12">
        <v>22.0</v>
      </c>
      <c r="B67" s="12" t="s">
        <v>67</v>
      </c>
      <c r="C67" s="13" t="s">
        <v>632</v>
      </c>
      <c r="D67" s="14">
        <v>2786.0</v>
      </c>
      <c r="E67" s="16"/>
      <c r="F67" s="14">
        <f t="shared" si="5"/>
        <v>2786</v>
      </c>
      <c r="G67" s="19">
        <f t="shared" si="6"/>
        <v>58820</v>
      </c>
    </row>
    <row r="68">
      <c r="A68" s="12">
        <v>23.0</v>
      </c>
      <c r="B68" s="12" t="s">
        <v>180</v>
      </c>
      <c r="C68" s="13" t="s">
        <v>436</v>
      </c>
      <c r="D68" s="14">
        <v>5003.0</v>
      </c>
      <c r="E68" s="14">
        <v>5253.0</v>
      </c>
      <c r="F68" s="14">
        <f t="shared" si="5"/>
        <v>10256</v>
      </c>
      <c r="G68" s="19">
        <f t="shared" si="6"/>
        <v>69076</v>
      </c>
    </row>
    <row r="69">
      <c r="A69" s="24"/>
      <c r="B69" s="24"/>
      <c r="C69" s="26"/>
      <c r="D69" s="27">
        <v>25.0</v>
      </c>
      <c r="E69" s="28"/>
      <c r="F69" s="27">
        <f>SUM(F46:F68)</f>
        <v>69076</v>
      </c>
      <c r="G69" s="29">
        <f>G68</f>
        <v>69076</v>
      </c>
    </row>
    <row r="70">
      <c r="C70" s="30"/>
      <c r="G70" s="30"/>
    </row>
    <row r="71">
      <c r="A71" s="4" t="s">
        <v>574</v>
      </c>
      <c r="B71" s="5"/>
      <c r="C71" s="5"/>
      <c r="D71" s="5"/>
      <c r="E71" s="5"/>
      <c r="F71" s="5"/>
      <c r="G71" s="6"/>
    </row>
    <row r="72">
      <c r="A72" s="7"/>
      <c r="B72" s="8"/>
      <c r="C72" s="8"/>
      <c r="D72" s="8"/>
      <c r="E72" s="8"/>
      <c r="F72" s="8"/>
      <c r="G72" s="9"/>
    </row>
    <row r="73">
      <c r="A73" s="10"/>
      <c r="B73" s="10" t="s">
        <v>6</v>
      </c>
      <c r="C73" s="11" t="s">
        <v>7</v>
      </c>
      <c r="D73" s="10" t="s">
        <v>8</v>
      </c>
      <c r="E73" s="10" t="s">
        <v>9</v>
      </c>
      <c r="F73" s="10" t="s">
        <v>10</v>
      </c>
      <c r="G73" s="11" t="s">
        <v>11</v>
      </c>
    </row>
    <row r="74">
      <c r="A74" s="12">
        <v>1.0</v>
      </c>
      <c r="B74" s="12" t="s">
        <v>200</v>
      </c>
      <c r="C74" s="13" t="s">
        <v>644</v>
      </c>
      <c r="D74" s="14">
        <v>2360.0</v>
      </c>
      <c r="E74" s="16"/>
      <c r="F74" s="14">
        <f t="shared" ref="F74:F101" si="7">SUM(D74:E74)</f>
        <v>2360</v>
      </c>
      <c r="G74" s="19">
        <f>F74</f>
        <v>2360</v>
      </c>
    </row>
    <row r="75">
      <c r="A75" s="12">
        <v>2.0</v>
      </c>
      <c r="B75" s="12" t="s">
        <v>202</v>
      </c>
      <c r="C75" s="13" t="s">
        <v>372</v>
      </c>
      <c r="D75" s="14">
        <v>2478.0</v>
      </c>
      <c r="E75" s="16"/>
      <c r="F75" s="14">
        <f t="shared" si="7"/>
        <v>2478</v>
      </c>
      <c r="G75" s="19">
        <f t="shared" ref="G75:G101" si="8">G74+F75</f>
        <v>4838</v>
      </c>
    </row>
    <row r="76">
      <c r="A76" s="12">
        <v>3.0</v>
      </c>
      <c r="B76" s="12" t="s">
        <v>202</v>
      </c>
      <c r="C76" s="13" t="s">
        <v>372</v>
      </c>
      <c r="D76" s="14">
        <v>2602.0</v>
      </c>
      <c r="E76" s="16"/>
      <c r="F76" s="14">
        <f t="shared" si="7"/>
        <v>2602</v>
      </c>
      <c r="G76" s="19">
        <f t="shared" si="8"/>
        <v>7440</v>
      </c>
    </row>
    <row r="77">
      <c r="A77" s="12">
        <v>4.0</v>
      </c>
      <c r="B77" s="12" t="s">
        <v>202</v>
      </c>
      <c r="C77" s="13" t="s">
        <v>646</v>
      </c>
      <c r="D77" s="14">
        <v>2732.0</v>
      </c>
      <c r="E77" s="16"/>
      <c r="F77" s="14">
        <f t="shared" si="7"/>
        <v>2732</v>
      </c>
      <c r="G77" s="19">
        <f t="shared" si="8"/>
        <v>10172</v>
      </c>
    </row>
    <row r="78">
      <c r="A78" s="12">
        <v>5.0</v>
      </c>
      <c r="B78" s="12" t="s">
        <v>206</v>
      </c>
      <c r="C78" s="13" t="s">
        <v>375</v>
      </c>
      <c r="D78" s="14">
        <v>2478.0</v>
      </c>
      <c r="E78" s="16"/>
      <c r="F78" s="14">
        <f t="shared" si="7"/>
        <v>2478</v>
      </c>
      <c r="G78" s="19">
        <f t="shared" si="8"/>
        <v>12650</v>
      </c>
    </row>
    <row r="79">
      <c r="A79" s="12">
        <v>6.0</v>
      </c>
      <c r="B79" s="12" t="s">
        <v>206</v>
      </c>
      <c r="C79" s="13" t="s">
        <v>375</v>
      </c>
      <c r="D79" s="14">
        <v>2602.0</v>
      </c>
      <c r="E79" s="16"/>
      <c r="F79" s="14">
        <f t="shared" si="7"/>
        <v>2602</v>
      </c>
      <c r="G79" s="19">
        <f t="shared" si="8"/>
        <v>15252</v>
      </c>
    </row>
    <row r="80">
      <c r="A80" s="12">
        <v>7.0</v>
      </c>
      <c r="B80" s="12" t="s">
        <v>206</v>
      </c>
      <c r="C80" s="13" t="s">
        <v>648</v>
      </c>
      <c r="D80" s="14">
        <v>2732.0</v>
      </c>
      <c r="E80" s="16"/>
      <c r="F80" s="14">
        <f t="shared" si="7"/>
        <v>2732</v>
      </c>
      <c r="G80" s="19">
        <f t="shared" si="8"/>
        <v>17984</v>
      </c>
    </row>
    <row r="81">
      <c r="A81" s="12">
        <v>8.0</v>
      </c>
      <c r="B81" s="12" t="s">
        <v>210</v>
      </c>
      <c r="C81" s="13" t="s">
        <v>650</v>
      </c>
      <c r="D81" s="14">
        <v>2869.0</v>
      </c>
      <c r="E81" s="16"/>
      <c r="F81" s="14">
        <f t="shared" si="7"/>
        <v>2869</v>
      </c>
      <c r="G81" s="19">
        <f t="shared" si="8"/>
        <v>20853</v>
      </c>
    </row>
    <row r="82">
      <c r="A82" s="12">
        <v>9.0</v>
      </c>
      <c r="B82" s="12" t="s">
        <v>212</v>
      </c>
      <c r="C82" s="13" t="s">
        <v>653</v>
      </c>
      <c r="D82" s="14">
        <v>3844.0</v>
      </c>
      <c r="E82" s="14">
        <v>4036.0</v>
      </c>
      <c r="F82" s="14">
        <f t="shared" si="7"/>
        <v>7880</v>
      </c>
      <c r="G82" s="19">
        <f t="shared" si="8"/>
        <v>28733</v>
      </c>
    </row>
    <row r="83">
      <c r="A83" s="12">
        <v>10.0</v>
      </c>
      <c r="B83" s="12" t="s">
        <v>214</v>
      </c>
      <c r="C83" s="13" t="s">
        <v>654</v>
      </c>
      <c r="D83" s="14">
        <v>2360.0</v>
      </c>
      <c r="E83" s="16"/>
      <c r="F83" s="14">
        <f t="shared" si="7"/>
        <v>2360</v>
      </c>
      <c r="G83" s="19">
        <f t="shared" si="8"/>
        <v>31093</v>
      </c>
    </row>
    <row r="84">
      <c r="A84" s="12">
        <v>11.0</v>
      </c>
      <c r="B84" s="12" t="s">
        <v>218</v>
      </c>
      <c r="C84" s="13" t="s">
        <v>378</v>
      </c>
      <c r="D84" s="14">
        <v>2478.0</v>
      </c>
      <c r="E84" s="16"/>
      <c r="F84" s="14">
        <f t="shared" si="7"/>
        <v>2478</v>
      </c>
      <c r="G84" s="19">
        <f t="shared" si="8"/>
        <v>33571</v>
      </c>
    </row>
    <row r="85">
      <c r="A85" s="12">
        <v>12.0</v>
      </c>
      <c r="B85" s="12" t="s">
        <v>218</v>
      </c>
      <c r="C85" s="13" t="s">
        <v>378</v>
      </c>
      <c r="D85" s="14">
        <v>2602.0</v>
      </c>
      <c r="E85" s="16"/>
      <c r="F85" s="14">
        <f t="shared" si="7"/>
        <v>2602</v>
      </c>
      <c r="G85" s="19">
        <f t="shared" si="8"/>
        <v>36173</v>
      </c>
    </row>
    <row r="86">
      <c r="A86" s="12">
        <v>13.0</v>
      </c>
      <c r="B86" s="12" t="s">
        <v>218</v>
      </c>
      <c r="C86" s="13" t="s">
        <v>656</v>
      </c>
      <c r="D86" s="14">
        <v>2732.0</v>
      </c>
      <c r="E86" s="16"/>
      <c r="F86" s="14">
        <f t="shared" si="7"/>
        <v>2732</v>
      </c>
      <c r="G86" s="19">
        <f t="shared" si="8"/>
        <v>38905</v>
      </c>
    </row>
    <row r="87">
      <c r="A87" s="12">
        <v>14.0</v>
      </c>
      <c r="B87" s="12" t="s">
        <v>157</v>
      </c>
      <c r="C87" s="13" t="s">
        <v>381</v>
      </c>
      <c r="D87" s="14">
        <v>2478.0</v>
      </c>
      <c r="E87" s="16"/>
      <c r="F87" s="14">
        <f t="shared" si="7"/>
        <v>2478</v>
      </c>
      <c r="G87" s="19">
        <f t="shared" si="8"/>
        <v>41383</v>
      </c>
    </row>
    <row r="88">
      <c r="A88" s="12">
        <v>15.0</v>
      </c>
      <c r="B88" s="12" t="s">
        <v>157</v>
      </c>
      <c r="C88" s="13" t="s">
        <v>381</v>
      </c>
      <c r="D88" s="14">
        <v>2602.0</v>
      </c>
      <c r="E88" s="16"/>
      <c r="F88" s="14">
        <f t="shared" si="7"/>
        <v>2602</v>
      </c>
      <c r="G88" s="19">
        <f t="shared" si="8"/>
        <v>43985</v>
      </c>
    </row>
    <row r="89">
      <c r="A89" s="12">
        <v>16.0</v>
      </c>
      <c r="B89" s="12" t="s">
        <v>157</v>
      </c>
      <c r="C89" s="13" t="s">
        <v>659</v>
      </c>
      <c r="D89" s="14">
        <v>2732.0</v>
      </c>
      <c r="E89" s="16"/>
      <c r="F89" s="14">
        <f t="shared" si="7"/>
        <v>2732</v>
      </c>
      <c r="G89" s="19">
        <f t="shared" si="8"/>
        <v>46717</v>
      </c>
    </row>
    <row r="90">
      <c r="A90" s="12">
        <v>17.0</v>
      </c>
      <c r="B90" s="12" t="s">
        <v>224</v>
      </c>
      <c r="C90" s="13" t="s">
        <v>660</v>
      </c>
      <c r="D90" s="14">
        <v>2869.0</v>
      </c>
      <c r="E90" s="16"/>
      <c r="F90" s="14">
        <f t="shared" si="7"/>
        <v>2869</v>
      </c>
      <c r="G90" s="19">
        <f t="shared" si="8"/>
        <v>49586</v>
      </c>
    </row>
    <row r="91">
      <c r="A91" s="12">
        <v>18.0</v>
      </c>
      <c r="B91" s="12" t="s">
        <v>230</v>
      </c>
      <c r="C91" s="13" t="s">
        <v>661</v>
      </c>
      <c r="D91" s="14">
        <v>3844.0</v>
      </c>
      <c r="E91" s="14">
        <v>4036.0</v>
      </c>
      <c r="F91" s="14">
        <f t="shared" si="7"/>
        <v>7880</v>
      </c>
      <c r="G91" s="19">
        <f t="shared" si="8"/>
        <v>57466</v>
      </c>
    </row>
    <row r="92">
      <c r="A92" s="12">
        <v>19.0</v>
      </c>
      <c r="B92" s="12" t="s">
        <v>594</v>
      </c>
      <c r="C92" s="13" t="s">
        <v>662</v>
      </c>
      <c r="D92" s="14">
        <v>5900.0</v>
      </c>
      <c r="E92" s="16"/>
      <c r="F92" s="14">
        <f t="shared" si="7"/>
        <v>5900</v>
      </c>
      <c r="G92" s="19">
        <f t="shared" si="8"/>
        <v>63366</v>
      </c>
    </row>
    <row r="93">
      <c r="A93" s="12">
        <v>20.0</v>
      </c>
      <c r="B93" s="12" t="s">
        <v>226</v>
      </c>
      <c r="C93" s="13" t="s">
        <v>663</v>
      </c>
      <c r="D93" s="14">
        <v>2360.0</v>
      </c>
      <c r="E93" s="16"/>
      <c r="F93" s="14">
        <f t="shared" si="7"/>
        <v>2360</v>
      </c>
      <c r="G93" s="19">
        <f t="shared" si="8"/>
        <v>65726</v>
      </c>
    </row>
    <row r="94">
      <c r="A94" s="12">
        <v>21.0</v>
      </c>
      <c r="B94" s="12" t="s">
        <v>237</v>
      </c>
      <c r="C94" s="13" t="s">
        <v>384</v>
      </c>
      <c r="D94" s="14">
        <v>2478.0</v>
      </c>
      <c r="E94" s="16"/>
      <c r="F94" s="14">
        <f t="shared" si="7"/>
        <v>2478</v>
      </c>
      <c r="G94" s="19">
        <f t="shared" si="8"/>
        <v>68204</v>
      </c>
    </row>
    <row r="95">
      <c r="A95" s="12">
        <v>22.0</v>
      </c>
      <c r="B95" s="12" t="s">
        <v>237</v>
      </c>
      <c r="C95" s="13" t="s">
        <v>384</v>
      </c>
      <c r="D95" s="14">
        <v>2602.0</v>
      </c>
      <c r="E95" s="16"/>
      <c r="F95" s="14">
        <f t="shared" si="7"/>
        <v>2602</v>
      </c>
      <c r="G95" s="19">
        <f t="shared" si="8"/>
        <v>70806</v>
      </c>
    </row>
    <row r="96">
      <c r="A96" s="12">
        <v>23.0</v>
      </c>
      <c r="B96" s="12" t="s">
        <v>237</v>
      </c>
      <c r="C96" s="13" t="s">
        <v>664</v>
      </c>
      <c r="D96" s="14">
        <v>2732.0</v>
      </c>
      <c r="E96" s="16"/>
      <c r="F96" s="14">
        <f t="shared" si="7"/>
        <v>2732</v>
      </c>
      <c r="G96" s="19">
        <f t="shared" si="8"/>
        <v>73538</v>
      </c>
    </row>
    <row r="97">
      <c r="A97" s="12">
        <v>24.0</v>
      </c>
      <c r="B97" s="12" t="s">
        <v>234</v>
      </c>
      <c r="C97" s="13" t="s">
        <v>387</v>
      </c>
      <c r="D97" s="14">
        <v>2478.0</v>
      </c>
      <c r="E97" s="16"/>
      <c r="F97" s="14">
        <f t="shared" si="7"/>
        <v>2478</v>
      </c>
      <c r="G97" s="19">
        <f t="shared" si="8"/>
        <v>76016</v>
      </c>
    </row>
    <row r="98">
      <c r="A98" s="12">
        <v>25.0</v>
      </c>
      <c r="B98" s="12" t="s">
        <v>234</v>
      </c>
      <c r="C98" s="13" t="s">
        <v>387</v>
      </c>
      <c r="D98" s="14">
        <v>2602.0</v>
      </c>
      <c r="E98" s="16"/>
      <c r="F98" s="14">
        <f t="shared" si="7"/>
        <v>2602</v>
      </c>
      <c r="G98" s="19">
        <f t="shared" si="8"/>
        <v>78618</v>
      </c>
    </row>
    <row r="99">
      <c r="A99" s="12">
        <v>26.0</v>
      </c>
      <c r="B99" s="12" t="s">
        <v>234</v>
      </c>
      <c r="C99" s="13" t="s">
        <v>665</v>
      </c>
      <c r="D99" s="14">
        <v>2732.0</v>
      </c>
      <c r="E99" s="16"/>
      <c r="F99" s="14">
        <f t="shared" si="7"/>
        <v>2732</v>
      </c>
      <c r="G99" s="19">
        <f t="shared" si="8"/>
        <v>81350</v>
      </c>
    </row>
    <row r="100">
      <c r="A100" s="12">
        <v>27.0</v>
      </c>
      <c r="B100" s="12" t="s">
        <v>242</v>
      </c>
      <c r="C100" s="13" t="s">
        <v>667</v>
      </c>
      <c r="D100" s="14">
        <v>2869.0</v>
      </c>
      <c r="E100" s="16"/>
      <c r="F100" s="14">
        <f t="shared" si="7"/>
        <v>2869</v>
      </c>
      <c r="G100" s="19">
        <f t="shared" si="8"/>
        <v>84219</v>
      </c>
    </row>
    <row r="101">
      <c r="A101" s="12">
        <v>28.0</v>
      </c>
      <c r="B101" s="12" t="s">
        <v>244</v>
      </c>
      <c r="C101" s="13" t="s">
        <v>668</v>
      </c>
      <c r="D101" s="14">
        <v>3844.0</v>
      </c>
      <c r="E101" s="14">
        <v>4036.0</v>
      </c>
      <c r="F101" s="14">
        <f t="shared" si="7"/>
        <v>7880</v>
      </c>
      <c r="G101" s="19">
        <f t="shared" si="8"/>
        <v>92099</v>
      </c>
    </row>
    <row r="102">
      <c r="A102" s="24"/>
      <c r="B102" s="24"/>
      <c r="C102" s="26"/>
      <c r="D102" s="27">
        <v>31.0</v>
      </c>
      <c r="E102" s="28"/>
      <c r="F102" s="27">
        <f>SUM(F74:F101)</f>
        <v>92099</v>
      </c>
      <c r="G102" s="29">
        <f>G101</f>
        <v>92099</v>
      </c>
    </row>
  </sheetData>
  <mergeCells count="4">
    <mergeCell ref="A1:G2"/>
    <mergeCell ref="A20:G21"/>
    <mergeCell ref="A43:G44"/>
    <mergeCell ref="A71:G72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8.86"/>
    <col customWidth="1" min="3" max="3" width="60.0"/>
    <col customWidth="1" min="4" max="5" width="7.14"/>
    <col customWidth="1" min="6" max="6" width="8.0"/>
    <col customWidth="1" min="7" max="7" width="8.57"/>
  </cols>
  <sheetData>
    <row r="1">
      <c r="A1" s="4" t="s">
        <v>280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22</v>
      </c>
      <c r="C4" s="13" t="s">
        <v>24</v>
      </c>
      <c r="D4" s="14">
        <v>1611.0</v>
      </c>
      <c r="E4" s="16"/>
      <c r="F4" s="14">
        <f t="shared" ref="F4:F17" si="1">SUM(D4:E4)</f>
        <v>1611</v>
      </c>
      <c r="G4" s="19">
        <f>F4</f>
        <v>1611</v>
      </c>
    </row>
    <row r="5">
      <c r="A5" s="12">
        <v>2.0</v>
      </c>
      <c r="B5" s="12" t="s">
        <v>22</v>
      </c>
      <c r="C5" s="13" t="s">
        <v>24</v>
      </c>
      <c r="D5" s="14">
        <v>1611.0</v>
      </c>
      <c r="E5" s="16"/>
      <c r="F5" s="14">
        <f t="shared" si="1"/>
        <v>1611</v>
      </c>
      <c r="G5" s="19">
        <f t="shared" ref="G5:G17" si="2">G4+F5</f>
        <v>3222</v>
      </c>
    </row>
    <row r="6">
      <c r="A6" s="12">
        <v>3.0</v>
      </c>
      <c r="B6" s="12" t="s">
        <v>281</v>
      </c>
      <c r="C6" s="13" t="s">
        <v>586</v>
      </c>
      <c r="D6" s="14">
        <v>2267.0</v>
      </c>
      <c r="E6" s="16"/>
      <c r="F6" s="14">
        <f t="shared" si="1"/>
        <v>2267</v>
      </c>
      <c r="G6" s="19">
        <f t="shared" si="2"/>
        <v>5489</v>
      </c>
    </row>
    <row r="7">
      <c r="A7" s="12">
        <v>4.0</v>
      </c>
      <c r="B7" s="12" t="s">
        <v>12</v>
      </c>
      <c r="C7" s="13" t="s">
        <v>535</v>
      </c>
      <c r="D7" s="14">
        <v>1392.0</v>
      </c>
      <c r="E7" s="16"/>
      <c r="F7" s="14">
        <f t="shared" si="1"/>
        <v>1392</v>
      </c>
      <c r="G7" s="19">
        <f t="shared" si="2"/>
        <v>6881</v>
      </c>
    </row>
    <row r="8">
      <c r="A8" s="12">
        <v>5.0</v>
      </c>
      <c r="B8" s="12" t="s">
        <v>12</v>
      </c>
      <c r="C8" s="13" t="s">
        <v>535</v>
      </c>
      <c r="D8" s="14">
        <v>1461.0</v>
      </c>
      <c r="E8" s="16"/>
      <c r="F8" s="14">
        <f t="shared" si="1"/>
        <v>1461</v>
      </c>
      <c r="G8" s="19">
        <f t="shared" si="2"/>
        <v>8342</v>
      </c>
    </row>
    <row r="9">
      <c r="A9" s="12">
        <v>6.0</v>
      </c>
      <c r="B9" s="12" t="s">
        <v>12</v>
      </c>
      <c r="C9" s="13" t="s">
        <v>535</v>
      </c>
      <c r="D9" s="14">
        <v>1534.0</v>
      </c>
      <c r="E9" s="16"/>
      <c r="F9" s="14">
        <f t="shared" si="1"/>
        <v>1534</v>
      </c>
      <c r="G9" s="19">
        <f t="shared" si="2"/>
        <v>9876</v>
      </c>
    </row>
    <row r="10">
      <c r="A10" s="12">
        <v>7.0</v>
      </c>
      <c r="B10" s="12" t="s">
        <v>12</v>
      </c>
      <c r="C10" s="13" t="s">
        <v>535</v>
      </c>
      <c r="D10" s="14">
        <v>1611.0</v>
      </c>
      <c r="E10" s="16"/>
      <c r="F10" s="14">
        <f t="shared" si="1"/>
        <v>1611</v>
      </c>
      <c r="G10" s="19">
        <f t="shared" si="2"/>
        <v>11487</v>
      </c>
    </row>
    <row r="11">
      <c r="A11" s="12">
        <v>8.0</v>
      </c>
      <c r="B11" s="12" t="s">
        <v>22</v>
      </c>
      <c r="C11" s="13" t="s">
        <v>350</v>
      </c>
      <c r="D11" s="14">
        <v>2159.0</v>
      </c>
      <c r="E11" s="14">
        <v>2159.0</v>
      </c>
      <c r="F11" s="14">
        <f t="shared" si="1"/>
        <v>4318</v>
      </c>
      <c r="G11" s="19">
        <f t="shared" si="2"/>
        <v>15805</v>
      </c>
    </row>
    <row r="12">
      <c r="A12" s="12">
        <v>9.0</v>
      </c>
      <c r="B12" s="12" t="s">
        <v>25</v>
      </c>
      <c r="C12" s="13" t="s">
        <v>543</v>
      </c>
      <c r="D12" s="14">
        <v>1392.0</v>
      </c>
      <c r="E12" s="16"/>
      <c r="F12" s="14">
        <f t="shared" si="1"/>
        <v>1392</v>
      </c>
      <c r="G12" s="19">
        <f t="shared" si="2"/>
        <v>17197</v>
      </c>
    </row>
    <row r="13">
      <c r="A13" s="12">
        <v>10.0</v>
      </c>
      <c r="B13" s="12" t="s">
        <v>25</v>
      </c>
      <c r="C13" s="13" t="s">
        <v>543</v>
      </c>
      <c r="D13" s="14">
        <v>1461.0</v>
      </c>
      <c r="E13" s="16"/>
      <c r="F13" s="14">
        <f t="shared" si="1"/>
        <v>1461</v>
      </c>
      <c r="G13" s="19">
        <f t="shared" si="2"/>
        <v>18658</v>
      </c>
    </row>
    <row r="14">
      <c r="A14" s="12">
        <v>11.0</v>
      </c>
      <c r="B14" s="12" t="s">
        <v>25</v>
      </c>
      <c r="C14" s="13" t="s">
        <v>543</v>
      </c>
      <c r="D14" s="14">
        <v>1534.0</v>
      </c>
      <c r="E14" s="16"/>
      <c r="F14" s="14">
        <f t="shared" si="1"/>
        <v>1534</v>
      </c>
      <c r="G14" s="19">
        <f t="shared" si="2"/>
        <v>20192</v>
      </c>
    </row>
    <row r="15">
      <c r="A15" s="12">
        <v>12.0</v>
      </c>
      <c r="B15" s="12" t="s">
        <v>25</v>
      </c>
      <c r="C15" s="13" t="s">
        <v>543</v>
      </c>
      <c r="D15" s="14">
        <v>1611.0</v>
      </c>
      <c r="E15" s="16"/>
      <c r="F15" s="14">
        <f t="shared" si="1"/>
        <v>1611</v>
      </c>
      <c r="G15" s="19">
        <f t="shared" si="2"/>
        <v>21803</v>
      </c>
    </row>
    <row r="16">
      <c r="A16" s="12">
        <v>13.0</v>
      </c>
      <c r="B16" s="12" t="s">
        <v>22</v>
      </c>
      <c r="C16" s="13" t="s">
        <v>350</v>
      </c>
      <c r="D16" s="14">
        <v>2159.0</v>
      </c>
      <c r="E16" s="14">
        <v>2159.0</v>
      </c>
      <c r="F16" s="14">
        <f t="shared" si="1"/>
        <v>4318</v>
      </c>
      <c r="G16" s="19">
        <f t="shared" si="2"/>
        <v>26121</v>
      </c>
    </row>
    <row r="17">
      <c r="A17" s="12">
        <v>14.0</v>
      </c>
      <c r="B17" s="12" t="s">
        <v>419</v>
      </c>
      <c r="C17" s="13" t="s">
        <v>420</v>
      </c>
      <c r="D17" s="14">
        <v>6076.0</v>
      </c>
      <c r="E17" s="16"/>
      <c r="F17" s="14">
        <f t="shared" si="1"/>
        <v>6076</v>
      </c>
      <c r="G17" s="19">
        <f t="shared" si="2"/>
        <v>32197</v>
      </c>
    </row>
    <row r="18">
      <c r="A18" s="24"/>
      <c r="B18" s="24"/>
      <c r="C18" s="26"/>
      <c r="D18" s="27">
        <v>16.0</v>
      </c>
      <c r="E18" s="28"/>
      <c r="F18" s="27">
        <f>SUM(F4:F17)</f>
        <v>32197</v>
      </c>
      <c r="G18" s="29">
        <f>G17</f>
        <v>32197</v>
      </c>
    </row>
    <row r="19">
      <c r="C19" s="30"/>
      <c r="G19" s="30"/>
    </row>
    <row r="20">
      <c r="A20" s="4" t="s">
        <v>601</v>
      </c>
      <c r="B20" s="5"/>
      <c r="C20" s="5"/>
      <c r="D20" s="5"/>
      <c r="E20" s="5"/>
      <c r="F20" s="5"/>
      <c r="G20" s="6"/>
    </row>
    <row r="21">
      <c r="A21" s="7"/>
      <c r="B21" s="8"/>
      <c r="C21" s="8"/>
      <c r="D21" s="8"/>
      <c r="E21" s="8"/>
      <c r="F21" s="8"/>
      <c r="G21" s="9"/>
    </row>
    <row r="22">
      <c r="A22" s="10"/>
      <c r="B22" s="10" t="s">
        <v>6</v>
      </c>
      <c r="C22" s="11" t="s">
        <v>7</v>
      </c>
      <c r="D22" s="10" t="s">
        <v>8</v>
      </c>
      <c r="E22" s="10" t="s">
        <v>9</v>
      </c>
      <c r="F22" s="10" t="s">
        <v>10</v>
      </c>
      <c r="G22" s="11" t="s">
        <v>11</v>
      </c>
    </row>
    <row r="23">
      <c r="A23" s="12">
        <v>1.0</v>
      </c>
      <c r="B23" s="12" t="s">
        <v>47</v>
      </c>
      <c r="C23" s="13" t="s">
        <v>57</v>
      </c>
      <c r="D23" s="14">
        <v>1753.0</v>
      </c>
      <c r="E23" s="16"/>
      <c r="F23" s="14">
        <f t="shared" ref="F23:F40" si="3">SUM(D23:E23)</f>
        <v>1753</v>
      </c>
      <c r="G23" s="19">
        <f>F23</f>
        <v>1753</v>
      </c>
    </row>
    <row r="24">
      <c r="A24" s="12">
        <v>2.0</v>
      </c>
      <c r="B24" s="12" t="s">
        <v>47</v>
      </c>
      <c r="C24" s="13" t="s">
        <v>57</v>
      </c>
      <c r="D24" s="14">
        <v>1840.0</v>
      </c>
      <c r="E24" s="16"/>
      <c r="F24" s="14">
        <f t="shared" si="3"/>
        <v>1840</v>
      </c>
      <c r="G24" s="19">
        <f t="shared" ref="G24:G40" si="4">G23+F24</f>
        <v>3593</v>
      </c>
    </row>
    <row r="25">
      <c r="A25" s="12">
        <v>3.0</v>
      </c>
      <c r="B25" s="12" t="s">
        <v>47</v>
      </c>
      <c r="C25" s="13" t="s">
        <v>605</v>
      </c>
      <c r="D25" s="14">
        <v>1932.0</v>
      </c>
      <c r="E25" s="14">
        <v>1932.0</v>
      </c>
      <c r="F25" s="14">
        <f t="shared" si="3"/>
        <v>3864</v>
      </c>
      <c r="G25" s="19">
        <f t="shared" si="4"/>
        <v>7457</v>
      </c>
    </row>
    <row r="26">
      <c r="A26" s="12">
        <v>4.0</v>
      </c>
      <c r="B26" s="12" t="s">
        <v>43</v>
      </c>
      <c r="C26" s="13" t="s">
        <v>432</v>
      </c>
      <c r="D26" s="14">
        <v>1753.0</v>
      </c>
      <c r="E26" s="16"/>
      <c r="F26" s="14">
        <f t="shared" si="3"/>
        <v>1753</v>
      </c>
      <c r="G26" s="19">
        <f t="shared" si="4"/>
        <v>9210</v>
      </c>
    </row>
    <row r="27">
      <c r="A27" s="12">
        <v>5.0</v>
      </c>
      <c r="B27" s="12" t="s">
        <v>43</v>
      </c>
      <c r="C27" s="13" t="s">
        <v>607</v>
      </c>
      <c r="D27" s="14">
        <v>1840.0</v>
      </c>
      <c r="E27" s="16"/>
      <c r="F27" s="14">
        <f t="shared" si="3"/>
        <v>1840</v>
      </c>
      <c r="G27" s="19">
        <f t="shared" si="4"/>
        <v>11050</v>
      </c>
    </row>
    <row r="28">
      <c r="A28" s="12">
        <v>6.0</v>
      </c>
      <c r="B28" s="12" t="s">
        <v>43</v>
      </c>
      <c r="C28" s="13" t="s">
        <v>608</v>
      </c>
      <c r="D28" s="14">
        <v>1932.0</v>
      </c>
      <c r="E28" s="14">
        <v>1932.0</v>
      </c>
      <c r="F28" s="14">
        <f t="shared" si="3"/>
        <v>3864</v>
      </c>
      <c r="G28" s="19">
        <f t="shared" si="4"/>
        <v>14914</v>
      </c>
    </row>
    <row r="29">
      <c r="A29" s="12">
        <v>7.0</v>
      </c>
      <c r="B29" s="12" t="s">
        <v>45</v>
      </c>
      <c r="C29" s="13" t="s">
        <v>610</v>
      </c>
      <c r="D29" s="14">
        <v>2237.0</v>
      </c>
      <c r="E29" s="16"/>
      <c r="F29" s="14">
        <f t="shared" si="3"/>
        <v>2237</v>
      </c>
      <c r="G29" s="19">
        <f t="shared" si="4"/>
        <v>17151</v>
      </c>
    </row>
    <row r="30">
      <c r="A30" s="12">
        <v>8.0</v>
      </c>
      <c r="B30" s="12" t="s">
        <v>45</v>
      </c>
      <c r="C30" s="13" t="s">
        <v>610</v>
      </c>
      <c r="D30" s="14">
        <v>2349.0</v>
      </c>
      <c r="E30" s="16"/>
      <c r="F30" s="14">
        <f t="shared" si="3"/>
        <v>2349</v>
      </c>
      <c r="G30" s="19">
        <f t="shared" si="4"/>
        <v>19500</v>
      </c>
    </row>
    <row r="31">
      <c r="A31" s="12">
        <v>9.0</v>
      </c>
      <c r="B31" s="12" t="s">
        <v>45</v>
      </c>
      <c r="C31" s="13" t="s">
        <v>613</v>
      </c>
      <c r="D31" s="14">
        <v>2466.0</v>
      </c>
      <c r="E31" s="14">
        <v>2466.0</v>
      </c>
      <c r="F31" s="14">
        <f t="shared" si="3"/>
        <v>4932</v>
      </c>
      <c r="G31" s="19">
        <f t="shared" si="4"/>
        <v>24432</v>
      </c>
    </row>
    <row r="32">
      <c r="A32" s="12">
        <v>10.0</v>
      </c>
      <c r="B32" s="12" t="s">
        <v>45</v>
      </c>
      <c r="C32" s="13" t="s">
        <v>610</v>
      </c>
      <c r="D32" s="14">
        <v>2237.0</v>
      </c>
      <c r="E32" s="16"/>
      <c r="F32" s="14">
        <f t="shared" si="3"/>
        <v>2237</v>
      </c>
      <c r="G32" s="19">
        <f t="shared" si="4"/>
        <v>26669</v>
      </c>
    </row>
    <row r="33">
      <c r="A33" s="12">
        <v>11.0</v>
      </c>
      <c r="B33" s="12" t="s">
        <v>45</v>
      </c>
      <c r="C33" s="13" t="s">
        <v>610</v>
      </c>
      <c r="D33" s="14">
        <v>2349.0</v>
      </c>
      <c r="E33" s="16"/>
      <c r="F33" s="14">
        <f t="shared" si="3"/>
        <v>2349</v>
      </c>
      <c r="G33" s="19">
        <f t="shared" si="4"/>
        <v>29018</v>
      </c>
    </row>
    <row r="34">
      <c r="A34" s="12">
        <v>12.0</v>
      </c>
      <c r="B34" s="12" t="s">
        <v>51</v>
      </c>
      <c r="C34" s="13" t="s">
        <v>63</v>
      </c>
      <c r="D34" s="14">
        <v>1753.0</v>
      </c>
      <c r="E34" s="16"/>
      <c r="F34" s="14">
        <f t="shared" si="3"/>
        <v>1753</v>
      </c>
      <c r="G34" s="19">
        <f t="shared" si="4"/>
        <v>30771</v>
      </c>
    </row>
    <row r="35">
      <c r="A35" s="12">
        <v>13.0</v>
      </c>
      <c r="B35" s="12" t="s">
        <v>51</v>
      </c>
      <c r="C35" s="13" t="s">
        <v>63</v>
      </c>
      <c r="D35" s="14">
        <v>1840.0</v>
      </c>
      <c r="E35" s="16"/>
      <c r="F35" s="14">
        <f t="shared" si="3"/>
        <v>1840</v>
      </c>
      <c r="G35" s="19">
        <f t="shared" si="4"/>
        <v>32611</v>
      </c>
    </row>
    <row r="36">
      <c r="A36" s="12">
        <v>14.0</v>
      </c>
      <c r="B36" s="12" t="s">
        <v>51</v>
      </c>
      <c r="C36" s="13" t="s">
        <v>617</v>
      </c>
      <c r="D36" s="14">
        <v>1932.0</v>
      </c>
      <c r="E36" s="14">
        <v>1932.0</v>
      </c>
      <c r="F36" s="14">
        <f t="shared" si="3"/>
        <v>3864</v>
      </c>
      <c r="G36" s="19">
        <f t="shared" si="4"/>
        <v>36475</v>
      </c>
    </row>
    <row r="37">
      <c r="A37" s="12">
        <v>15.0</v>
      </c>
      <c r="B37" s="12" t="s">
        <v>40</v>
      </c>
      <c r="C37" s="13" t="s">
        <v>427</v>
      </c>
      <c r="D37" s="14">
        <v>1753.0</v>
      </c>
      <c r="E37" s="16"/>
      <c r="F37" s="14">
        <f t="shared" si="3"/>
        <v>1753</v>
      </c>
      <c r="G37" s="19">
        <f t="shared" si="4"/>
        <v>38228</v>
      </c>
    </row>
    <row r="38">
      <c r="A38" s="12">
        <v>16.0</v>
      </c>
      <c r="B38" s="12" t="s">
        <v>40</v>
      </c>
      <c r="C38" s="13" t="s">
        <v>620</v>
      </c>
      <c r="D38" s="14">
        <v>1840.0</v>
      </c>
      <c r="E38" s="16"/>
      <c r="F38" s="14">
        <f t="shared" si="3"/>
        <v>1840</v>
      </c>
      <c r="G38" s="19">
        <f t="shared" si="4"/>
        <v>40068</v>
      </c>
    </row>
    <row r="39">
      <c r="A39" s="12">
        <v>17.0</v>
      </c>
      <c r="B39" s="12" t="s">
        <v>40</v>
      </c>
      <c r="C39" s="13" t="s">
        <v>620</v>
      </c>
      <c r="D39" s="14">
        <v>1932.0</v>
      </c>
      <c r="E39" s="16"/>
      <c r="F39" s="14">
        <f t="shared" si="3"/>
        <v>1932</v>
      </c>
      <c r="G39" s="19">
        <f t="shared" si="4"/>
        <v>42000</v>
      </c>
    </row>
    <row r="40">
      <c r="A40" s="12">
        <v>18.0</v>
      </c>
      <c r="B40" s="12" t="s">
        <v>55</v>
      </c>
      <c r="C40" s="13" t="s">
        <v>65</v>
      </c>
      <c r="D40" s="14">
        <v>6295.0</v>
      </c>
      <c r="E40" s="16"/>
      <c r="F40" s="14">
        <f t="shared" si="3"/>
        <v>6295</v>
      </c>
      <c r="G40" s="19">
        <f t="shared" si="4"/>
        <v>48295</v>
      </c>
    </row>
    <row r="41">
      <c r="A41" s="24"/>
      <c r="B41" s="24"/>
      <c r="C41" s="26"/>
      <c r="D41" s="27">
        <v>22.0</v>
      </c>
      <c r="E41" s="28"/>
      <c r="F41" s="27">
        <f>SUM(F23:F40)</f>
        <v>48295</v>
      </c>
      <c r="G41" s="29">
        <f>G40</f>
        <v>48295</v>
      </c>
    </row>
    <row r="42">
      <c r="C42" s="30"/>
      <c r="G42" s="30"/>
    </row>
    <row r="43">
      <c r="A43" s="4" t="s">
        <v>625</v>
      </c>
      <c r="B43" s="5"/>
      <c r="C43" s="5"/>
      <c r="D43" s="5"/>
      <c r="E43" s="5"/>
      <c r="F43" s="5"/>
      <c r="G43" s="6"/>
    </row>
    <row r="44">
      <c r="A44" s="7"/>
      <c r="B44" s="8"/>
      <c r="C44" s="8"/>
      <c r="D44" s="8"/>
      <c r="E44" s="8"/>
      <c r="F44" s="8"/>
      <c r="G44" s="9"/>
    </row>
    <row r="45">
      <c r="A45" s="10"/>
      <c r="B45" s="10" t="s">
        <v>6</v>
      </c>
      <c r="C45" s="11" t="s">
        <v>7</v>
      </c>
      <c r="D45" s="10" t="s">
        <v>8</v>
      </c>
      <c r="E45" s="10" t="s">
        <v>9</v>
      </c>
      <c r="F45" s="10" t="s">
        <v>10</v>
      </c>
      <c r="G45" s="11" t="s">
        <v>11</v>
      </c>
    </row>
    <row r="46">
      <c r="A46" s="12">
        <v>1.0</v>
      </c>
      <c r="B46" s="12" t="s">
        <v>72</v>
      </c>
      <c r="C46" s="13" t="s">
        <v>463</v>
      </c>
      <c r="D46" s="14">
        <v>1969.0</v>
      </c>
      <c r="E46" s="16"/>
      <c r="F46" s="14">
        <f t="shared" ref="F46:F70" si="5">SUM(D46:E46)</f>
        <v>1969</v>
      </c>
      <c r="G46" s="19">
        <f>F46</f>
        <v>1969</v>
      </c>
    </row>
    <row r="47">
      <c r="A47" s="12">
        <v>2.0</v>
      </c>
      <c r="B47" s="12" t="s">
        <v>72</v>
      </c>
      <c r="C47" s="13" t="s">
        <v>463</v>
      </c>
      <c r="D47" s="14">
        <v>2067.0</v>
      </c>
      <c r="E47" s="16"/>
      <c r="F47" s="14">
        <f t="shared" si="5"/>
        <v>2067</v>
      </c>
      <c r="G47" s="19">
        <f t="shared" ref="G47:G70" si="6">G46+F47</f>
        <v>4036</v>
      </c>
    </row>
    <row r="48">
      <c r="A48" s="12">
        <v>3.0</v>
      </c>
      <c r="B48" s="12" t="s">
        <v>72</v>
      </c>
      <c r="C48" s="13" t="s">
        <v>463</v>
      </c>
      <c r="D48" s="14">
        <v>2171.0</v>
      </c>
      <c r="E48" s="16"/>
      <c r="F48" s="14">
        <f t="shared" si="5"/>
        <v>2171</v>
      </c>
      <c r="G48" s="19">
        <f t="shared" si="6"/>
        <v>6207</v>
      </c>
    </row>
    <row r="49">
      <c r="A49" s="12">
        <v>4.0</v>
      </c>
      <c r="B49" s="12" t="s">
        <v>72</v>
      </c>
      <c r="C49" s="13" t="s">
        <v>463</v>
      </c>
      <c r="D49" s="14">
        <v>2279.0</v>
      </c>
      <c r="E49" s="16"/>
      <c r="F49" s="14">
        <f t="shared" si="5"/>
        <v>2279</v>
      </c>
      <c r="G49" s="19">
        <f t="shared" si="6"/>
        <v>8486</v>
      </c>
    </row>
    <row r="50">
      <c r="A50" s="12">
        <v>5.0</v>
      </c>
      <c r="B50" s="12" t="s">
        <v>60</v>
      </c>
      <c r="C50" s="13" t="s">
        <v>74</v>
      </c>
      <c r="D50" s="14">
        <v>2393.0</v>
      </c>
      <c r="E50" s="16"/>
      <c r="F50" s="14">
        <f t="shared" si="5"/>
        <v>2393</v>
      </c>
      <c r="G50" s="19">
        <f t="shared" si="6"/>
        <v>10879</v>
      </c>
    </row>
    <row r="51">
      <c r="A51" s="12">
        <v>6.0</v>
      </c>
      <c r="B51" s="12" t="s">
        <v>60</v>
      </c>
      <c r="C51" s="13" t="s">
        <v>451</v>
      </c>
      <c r="D51" s="14">
        <v>2513.0</v>
      </c>
      <c r="E51" s="16"/>
      <c r="F51" s="14">
        <f t="shared" si="5"/>
        <v>2513</v>
      </c>
      <c r="G51" s="19">
        <f t="shared" si="6"/>
        <v>13392</v>
      </c>
    </row>
    <row r="52">
      <c r="A52" s="12">
        <v>7.0</v>
      </c>
      <c r="B52" s="12" t="s">
        <v>60</v>
      </c>
      <c r="C52" s="13" t="s">
        <v>74</v>
      </c>
      <c r="D52" s="14">
        <v>2513.0</v>
      </c>
      <c r="E52" s="16"/>
      <c r="F52" s="14">
        <f t="shared" si="5"/>
        <v>2513</v>
      </c>
      <c r="G52" s="19">
        <f t="shared" si="6"/>
        <v>15905</v>
      </c>
    </row>
    <row r="53">
      <c r="A53" s="12">
        <v>8.0</v>
      </c>
      <c r="B53" s="12" t="s">
        <v>70</v>
      </c>
      <c r="C53" s="13" t="s">
        <v>392</v>
      </c>
      <c r="D53" s="14">
        <v>3367.0</v>
      </c>
      <c r="E53" s="14">
        <v>3367.0</v>
      </c>
      <c r="F53" s="14">
        <f t="shared" si="5"/>
        <v>6734</v>
      </c>
      <c r="G53" s="19">
        <f t="shared" si="6"/>
        <v>22639</v>
      </c>
    </row>
    <row r="54">
      <c r="A54" s="12">
        <v>9.0</v>
      </c>
      <c r="B54" s="12" t="s">
        <v>64</v>
      </c>
      <c r="C54" s="13" t="s">
        <v>496</v>
      </c>
      <c r="D54" s="14">
        <v>2770.0</v>
      </c>
      <c r="E54" s="16"/>
      <c r="F54" s="14">
        <f t="shared" si="5"/>
        <v>2770</v>
      </c>
      <c r="G54" s="19">
        <f t="shared" si="6"/>
        <v>25409</v>
      </c>
    </row>
    <row r="55">
      <c r="A55" s="12">
        <v>10.0</v>
      </c>
      <c r="B55" s="12" t="s">
        <v>64</v>
      </c>
      <c r="C55" s="13" t="s">
        <v>496</v>
      </c>
      <c r="D55" s="14">
        <v>2770.0</v>
      </c>
      <c r="E55" s="16"/>
      <c r="F55" s="14">
        <f t="shared" si="5"/>
        <v>2770</v>
      </c>
      <c r="G55" s="19">
        <f t="shared" si="6"/>
        <v>28179</v>
      </c>
    </row>
    <row r="56">
      <c r="A56" s="12">
        <v>11.0</v>
      </c>
      <c r="B56" s="12" t="s">
        <v>79</v>
      </c>
      <c r="C56" s="13" t="s">
        <v>474</v>
      </c>
      <c r="D56" s="14">
        <v>1969.0</v>
      </c>
      <c r="E56" s="16"/>
      <c r="F56" s="14">
        <f t="shared" si="5"/>
        <v>1969</v>
      </c>
      <c r="G56" s="19">
        <f t="shared" si="6"/>
        <v>30148</v>
      </c>
    </row>
    <row r="57">
      <c r="A57" s="12">
        <v>12.0</v>
      </c>
      <c r="B57" s="12" t="s">
        <v>79</v>
      </c>
      <c r="C57" s="13" t="s">
        <v>474</v>
      </c>
      <c r="D57" s="14">
        <v>2067.0</v>
      </c>
      <c r="E57" s="16"/>
      <c r="F57" s="14">
        <f t="shared" si="5"/>
        <v>2067</v>
      </c>
      <c r="G57" s="19">
        <f t="shared" si="6"/>
        <v>32215</v>
      </c>
    </row>
    <row r="58">
      <c r="A58" s="12">
        <v>13.0</v>
      </c>
      <c r="B58" s="12" t="s">
        <v>79</v>
      </c>
      <c r="C58" s="13" t="s">
        <v>474</v>
      </c>
      <c r="D58" s="14">
        <v>2171.0</v>
      </c>
      <c r="E58" s="16"/>
      <c r="F58" s="14">
        <f t="shared" si="5"/>
        <v>2171</v>
      </c>
      <c r="G58" s="19">
        <f t="shared" si="6"/>
        <v>34386</v>
      </c>
    </row>
    <row r="59">
      <c r="A59" s="12">
        <v>14.0</v>
      </c>
      <c r="B59" s="12" t="s">
        <v>79</v>
      </c>
      <c r="C59" s="13" t="s">
        <v>474</v>
      </c>
      <c r="D59" s="14">
        <v>2279.0</v>
      </c>
      <c r="E59" s="16"/>
      <c r="F59" s="14">
        <f t="shared" si="5"/>
        <v>2279</v>
      </c>
      <c r="G59" s="19">
        <f t="shared" si="6"/>
        <v>36665</v>
      </c>
    </row>
    <row r="60">
      <c r="A60" s="12">
        <v>15.0</v>
      </c>
      <c r="B60" s="12" t="s">
        <v>83</v>
      </c>
      <c r="C60" s="13" t="s">
        <v>477</v>
      </c>
      <c r="D60" s="14">
        <v>3054.0</v>
      </c>
      <c r="E60" s="16"/>
      <c r="F60" s="14">
        <f t="shared" si="5"/>
        <v>3054</v>
      </c>
      <c r="G60" s="19">
        <f t="shared" si="6"/>
        <v>39719</v>
      </c>
    </row>
    <row r="61">
      <c r="A61" s="12">
        <v>16.0</v>
      </c>
      <c r="B61" s="12" t="s">
        <v>60</v>
      </c>
      <c r="C61" s="13" t="s">
        <v>74</v>
      </c>
      <c r="D61" s="14">
        <v>2513.0</v>
      </c>
      <c r="E61" s="16"/>
      <c r="F61" s="14">
        <f t="shared" si="5"/>
        <v>2513</v>
      </c>
      <c r="G61" s="19">
        <f t="shared" si="6"/>
        <v>42232</v>
      </c>
    </row>
    <row r="62">
      <c r="A62" s="12">
        <v>17.0</v>
      </c>
      <c r="B62" s="12" t="s">
        <v>83</v>
      </c>
      <c r="C62" s="13" t="s">
        <v>393</v>
      </c>
      <c r="D62" s="14">
        <v>3054.0</v>
      </c>
      <c r="E62" s="14">
        <v>3054.0</v>
      </c>
      <c r="F62" s="14">
        <f t="shared" si="5"/>
        <v>6108</v>
      </c>
      <c r="G62" s="19">
        <f t="shared" si="6"/>
        <v>48340</v>
      </c>
    </row>
    <row r="63">
      <c r="A63" s="12">
        <v>18.0</v>
      </c>
      <c r="B63" s="12" t="s">
        <v>67</v>
      </c>
      <c r="C63" s="13" t="s">
        <v>85</v>
      </c>
      <c r="D63" s="14">
        <v>2393.0</v>
      </c>
      <c r="E63" s="16"/>
      <c r="F63" s="14">
        <f t="shared" si="5"/>
        <v>2393</v>
      </c>
      <c r="G63" s="19">
        <f t="shared" si="6"/>
        <v>50733</v>
      </c>
    </row>
    <row r="64">
      <c r="A64" s="12">
        <v>19.0</v>
      </c>
      <c r="B64" s="12" t="s">
        <v>67</v>
      </c>
      <c r="C64" s="13" t="s">
        <v>85</v>
      </c>
      <c r="D64" s="14">
        <v>2513.0</v>
      </c>
      <c r="E64" s="16"/>
      <c r="F64" s="14">
        <f t="shared" si="5"/>
        <v>2513</v>
      </c>
      <c r="G64" s="19">
        <f t="shared" si="6"/>
        <v>53246</v>
      </c>
    </row>
    <row r="65">
      <c r="A65" s="12">
        <v>20.0</v>
      </c>
      <c r="B65" s="12" t="s">
        <v>67</v>
      </c>
      <c r="C65" s="13" t="s">
        <v>85</v>
      </c>
      <c r="D65" s="14">
        <v>2513.0</v>
      </c>
      <c r="E65" s="16"/>
      <c r="F65" s="14">
        <f t="shared" si="5"/>
        <v>2513</v>
      </c>
      <c r="G65" s="19">
        <f t="shared" si="6"/>
        <v>55759</v>
      </c>
    </row>
    <row r="66">
      <c r="A66" s="12">
        <v>21.0</v>
      </c>
      <c r="B66" s="12" t="s">
        <v>67</v>
      </c>
      <c r="C66" s="13" t="s">
        <v>456</v>
      </c>
      <c r="D66" s="14">
        <v>2513.0</v>
      </c>
      <c r="E66" s="16"/>
      <c r="F66" s="14">
        <f t="shared" si="5"/>
        <v>2513</v>
      </c>
      <c r="G66" s="19">
        <f t="shared" si="6"/>
        <v>58272</v>
      </c>
    </row>
    <row r="67">
      <c r="A67" s="12">
        <v>22.0</v>
      </c>
      <c r="B67" s="12" t="s">
        <v>70</v>
      </c>
      <c r="C67" s="13" t="s">
        <v>392</v>
      </c>
      <c r="D67" s="14">
        <v>3367.0</v>
      </c>
      <c r="E67" s="14">
        <v>3367.0</v>
      </c>
      <c r="F67" s="14">
        <f t="shared" si="5"/>
        <v>6734</v>
      </c>
      <c r="G67" s="19">
        <f t="shared" si="6"/>
        <v>65006</v>
      </c>
    </row>
    <row r="68">
      <c r="A68" s="12">
        <v>23.0</v>
      </c>
      <c r="B68" s="12" t="s">
        <v>75</v>
      </c>
      <c r="C68" s="13" t="s">
        <v>511</v>
      </c>
      <c r="D68" s="14">
        <v>2770.0</v>
      </c>
      <c r="E68" s="16"/>
      <c r="F68" s="14">
        <f t="shared" si="5"/>
        <v>2770</v>
      </c>
      <c r="G68" s="19">
        <f t="shared" si="6"/>
        <v>67776</v>
      </c>
    </row>
    <row r="69">
      <c r="A69" s="12">
        <v>24.0</v>
      </c>
      <c r="B69" s="12" t="s">
        <v>75</v>
      </c>
      <c r="C69" s="13" t="s">
        <v>511</v>
      </c>
      <c r="D69" s="14">
        <v>2770.0</v>
      </c>
      <c r="E69" s="16"/>
      <c r="F69" s="14">
        <f t="shared" si="5"/>
        <v>2770</v>
      </c>
      <c r="G69" s="19">
        <f t="shared" si="6"/>
        <v>70546</v>
      </c>
    </row>
    <row r="70">
      <c r="A70" s="12">
        <v>25.0</v>
      </c>
      <c r="B70" s="12" t="s">
        <v>516</v>
      </c>
      <c r="C70" s="13" t="s">
        <v>549</v>
      </c>
      <c r="D70" s="14">
        <v>9950.0</v>
      </c>
      <c r="E70" s="16"/>
      <c r="F70" s="14">
        <f t="shared" si="5"/>
        <v>9950</v>
      </c>
      <c r="G70" s="19">
        <f t="shared" si="6"/>
        <v>80496</v>
      </c>
    </row>
    <row r="71">
      <c r="A71" s="24"/>
      <c r="B71" s="24"/>
      <c r="C71" s="26"/>
      <c r="D71" s="27">
        <v>28.0</v>
      </c>
      <c r="E71" s="28"/>
      <c r="F71" s="27">
        <f>SUM(F46:F70)</f>
        <v>80496</v>
      </c>
      <c r="G71" s="29">
        <f>G70</f>
        <v>80496</v>
      </c>
    </row>
    <row r="72">
      <c r="C72" s="30"/>
      <c r="G72" s="30"/>
    </row>
    <row r="73">
      <c r="A73" s="4" t="s">
        <v>645</v>
      </c>
      <c r="B73" s="5"/>
      <c r="C73" s="5"/>
      <c r="D73" s="5"/>
      <c r="E73" s="5"/>
      <c r="F73" s="5"/>
      <c r="G73" s="6"/>
    </row>
    <row r="74">
      <c r="A74" s="7"/>
      <c r="B74" s="8"/>
      <c r="C74" s="8"/>
      <c r="D74" s="8"/>
      <c r="E74" s="8"/>
      <c r="F74" s="8"/>
      <c r="G74" s="9"/>
    </row>
    <row r="75">
      <c r="A75" s="10"/>
      <c r="B75" s="10" t="s">
        <v>6</v>
      </c>
      <c r="C75" s="11" t="s">
        <v>7</v>
      </c>
      <c r="D75" s="10" t="s">
        <v>8</v>
      </c>
      <c r="E75" s="10" t="s">
        <v>9</v>
      </c>
      <c r="F75" s="10" t="s">
        <v>10</v>
      </c>
      <c r="G75" s="11" t="s">
        <v>11</v>
      </c>
    </row>
    <row r="76">
      <c r="A76" s="12">
        <v>1.0</v>
      </c>
      <c r="B76" s="12" t="s">
        <v>93</v>
      </c>
      <c r="C76" s="13" t="s">
        <v>108</v>
      </c>
      <c r="D76" s="14">
        <v>5026.0</v>
      </c>
      <c r="E76" s="16"/>
      <c r="F76" s="14">
        <f t="shared" ref="F76:F97" si="7">SUM(D76:E76)</f>
        <v>5026</v>
      </c>
      <c r="G76" s="19">
        <f>F76</f>
        <v>5026</v>
      </c>
    </row>
    <row r="77">
      <c r="A77" s="12">
        <v>2.0</v>
      </c>
      <c r="B77" s="12" t="s">
        <v>47</v>
      </c>
      <c r="C77" s="13" t="s">
        <v>435</v>
      </c>
      <c r="D77" s="14">
        <v>5278.0</v>
      </c>
      <c r="E77" s="16"/>
      <c r="F77" s="14">
        <f t="shared" si="7"/>
        <v>5278</v>
      </c>
      <c r="G77" s="19">
        <f t="shared" ref="G77:G97" si="8">G76+F77</f>
        <v>10304</v>
      </c>
    </row>
    <row r="78">
      <c r="A78" s="12">
        <v>3.0</v>
      </c>
      <c r="B78" s="12" t="s">
        <v>47</v>
      </c>
      <c r="C78" s="13" t="s">
        <v>435</v>
      </c>
      <c r="D78" s="14">
        <v>5542.0</v>
      </c>
      <c r="E78" s="16"/>
      <c r="F78" s="14">
        <f t="shared" si="7"/>
        <v>5542</v>
      </c>
      <c r="G78" s="19">
        <f t="shared" si="8"/>
        <v>15846</v>
      </c>
    </row>
    <row r="79">
      <c r="A79" s="12">
        <v>4.0</v>
      </c>
      <c r="B79" s="12" t="s">
        <v>93</v>
      </c>
      <c r="C79" s="13" t="s">
        <v>486</v>
      </c>
      <c r="D79" s="14">
        <v>5026.0</v>
      </c>
      <c r="E79" s="16"/>
      <c r="F79" s="14">
        <f t="shared" si="7"/>
        <v>5026</v>
      </c>
      <c r="G79" s="19">
        <f t="shared" si="8"/>
        <v>20872</v>
      </c>
    </row>
    <row r="80">
      <c r="A80" s="12">
        <v>5.0</v>
      </c>
      <c r="B80" s="12" t="s">
        <v>93</v>
      </c>
      <c r="C80" s="13" t="s">
        <v>486</v>
      </c>
      <c r="D80" s="14">
        <v>5278.0</v>
      </c>
      <c r="E80" s="16"/>
      <c r="F80" s="14">
        <f t="shared" si="7"/>
        <v>5278</v>
      </c>
      <c r="G80" s="19">
        <f t="shared" si="8"/>
        <v>26150</v>
      </c>
    </row>
    <row r="81">
      <c r="A81" s="12">
        <v>6.0</v>
      </c>
      <c r="B81" s="12" t="s">
        <v>93</v>
      </c>
      <c r="C81" s="13" t="s">
        <v>486</v>
      </c>
      <c r="D81" s="14">
        <v>5542.0</v>
      </c>
      <c r="E81" s="16"/>
      <c r="F81" s="14">
        <f t="shared" si="7"/>
        <v>5542</v>
      </c>
      <c r="G81" s="19">
        <f t="shared" si="8"/>
        <v>31692</v>
      </c>
    </row>
    <row r="82">
      <c r="A82" s="12">
        <v>7.0</v>
      </c>
      <c r="B82" s="12" t="s">
        <v>104</v>
      </c>
      <c r="C82" s="13" t="s">
        <v>119</v>
      </c>
      <c r="D82" s="14">
        <v>5819.0</v>
      </c>
      <c r="E82" s="16"/>
      <c r="F82" s="14">
        <f t="shared" si="7"/>
        <v>5819</v>
      </c>
      <c r="G82" s="19">
        <f t="shared" si="8"/>
        <v>37511</v>
      </c>
    </row>
    <row r="83">
      <c r="A83" s="12">
        <v>8.0</v>
      </c>
      <c r="B83" s="12" t="s">
        <v>104</v>
      </c>
      <c r="C83" s="13" t="s">
        <v>506</v>
      </c>
      <c r="D83" s="14">
        <v>6110.0</v>
      </c>
      <c r="E83" s="16"/>
      <c r="F83" s="14">
        <f t="shared" si="7"/>
        <v>6110</v>
      </c>
      <c r="G83" s="19">
        <f t="shared" si="8"/>
        <v>43621</v>
      </c>
    </row>
    <row r="84">
      <c r="A84" s="12">
        <v>9.0</v>
      </c>
      <c r="B84" s="12" t="s">
        <v>104</v>
      </c>
      <c r="C84" s="13" t="s">
        <v>506</v>
      </c>
      <c r="D84" s="14">
        <v>6415.0</v>
      </c>
      <c r="E84" s="16"/>
      <c r="F84" s="14">
        <f t="shared" si="7"/>
        <v>6415</v>
      </c>
      <c r="G84" s="19">
        <f t="shared" si="8"/>
        <v>50036</v>
      </c>
    </row>
    <row r="85">
      <c r="A85" s="12">
        <v>10.0</v>
      </c>
      <c r="B85" s="12" t="s">
        <v>104</v>
      </c>
      <c r="C85" s="13" t="s">
        <v>506</v>
      </c>
      <c r="D85" s="14">
        <v>6736.0</v>
      </c>
      <c r="E85" s="16"/>
      <c r="F85" s="14">
        <f t="shared" si="7"/>
        <v>6736</v>
      </c>
      <c r="G85" s="19">
        <f t="shared" si="8"/>
        <v>56772</v>
      </c>
    </row>
    <row r="86">
      <c r="A86" s="12">
        <v>11.0</v>
      </c>
      <c r="B86" s="12" t="s">
        <v>99</v>
      </c>
      <c r="C86" s="13" t="s">
        <v>498</v>
      </c>
      <c r="D86" s="14">
        <v>5026.0</v>
      </c>
      <c r="E86" s="16"/>
      <c r="F86" s="14">
        <f t="shared" si="7"/>
        <v>5026</v>
      </c>
      <c r="G86" s="19">
        <f t="shared" si="8"/>
        <v>61798</v>
      </c>
    </row>
    <row r="87">
      <c r="A87" s="12">
        <v>12.0</v>
      </c>
      <c r="B87" s="12" t="s">
        <v>99</v>
      </c>
      <c r="C87" s="13" t="s">
        <v>498</v>
      </c>
      <c r="D87" s="14">
        <v>5278.0</v>
      </c>
      <c r="E87" s="16"/>
      <c r="F87" s="14">
        <f t="shared" si="7"/>
        <v>5278</v>
      </c>
      <c r="G87" s="19">
        <f t="shared" si="8"/>
        <v>67076</v>
      </c>
    </row>
    <row r="88">
      <c r="A88" s="12">
        <v>13.0</v>
      </c>
      <c r="B88" s="12" t="s">
        <v>99</v>
      </c>
      <c r="C88" s="13" t="s">
        <v>498</v>
      </c>
      <c r="D88" s="14">
        <v>5542.0</v>
      </c>
      <c r="E88" s="16"/>
      <c r="F88" s="14">
        <f t="shared" si="7"/>
        <v>5542</v>
      </c>
      <c r="G88" s="19">
        <f t="shared" si="8"/>
        <v>72618</v>
      </c>
    </row>
    <row r="89">
      <c r="A89" s="12">
        <v>14.0</v>
      </c>
      <c r="B89" s="12" t="s">
        <v>106</v>
      </c>
      <c r="C89" s="13" t="s">
        <v>513</v>
      </c>
      <c r="D89" s="14">
        <v>5819.0</v>
      </c>
      <c r="E89" s="16"/>
      <c r="F89" s="14">
        <f t="shared" si="7"/>
        <v>5819</v>
      </c>
      <c r="G89" s="19">
        <f t="shared" si="8"/>
        <v>78437</v>
      </c>
    </row>
    <row r="90">
      <c r="A90" s="12">
        <v>15.0</v>
      </c>
      <c r="B90" s="12" t="s">
        <v>106</v>
      </c>
      <c r="C90" s="13" t="s">
        <v>122</v>
      </c>
      <c r="D90" s="14">
        <v>6110.0</v>
      </c>
      <c r="E90" s="16"/>
      <c r="F90" s="14">
        <f t="shared" si="7"/>
        <v>6110</v>
      </c>
      <c r="G90" s="19">
        <f t="shared" si="8"/>
        <v>84547</v>
      </c>
    </row>
    <row r="91">
      <c r="A91" s="12">
        <v>16.0</v>
      </c>
      <c r="B91" s="12" t="s">
        <v>106</v>
      </c>
      <c r="C91" s="13" t="s">
        <v>513</v>
      </c>
      <c r="D91" s="14">
        <v>6415.0</v>
      </c>
      <c r="E91" s="16"/>
      <c r="F91" s="14">
        <f t="shared" si="7"/>
        <v>6415</v>
      </c>
      <c r="G91" s="19">
        <f t="shared" si="8"/>
        <v>90962</v>
      </c>
    </row>
    <row r="92">
      <c r="A92" s="12">
        <v>17.0</v>
      </c>
      <c r="B92" s="12" t="s">
        <v>106</v>
      </c>
      <c r="C92" s="13" t="s">
        <v>513</v>
      </c>
      <c r="D92" s="14">
        <v>6736.0</v>
      </c>
      <c r="E92" s="16"/>
      <c r="F92" s="14">
        <f t="shared" si="7"/>
        <v>6736</v>
      </c>
      <c r="G92" s="19">
        <f t="shared" si="8"/>
        <v>97698</v>
      </c>
    </row>
    <row r="93">
      <c r="A93" s="12">
        <v>18.0</v>
      </c>
      <c r="B93" s="12" t="s">
        <v>22</v>
      </c>
      <c r="C93" s="13" t="s">
        <v>400</v>
      </c>
      <c r="D93" s="14">
        <v>9027.0</v>
      </c>
      <c r="E93" s="14">
        <v>9027.0</v>
      </c>
      <c r="F93" s="14">
        <f t="shared" si="7"/>
        <v>18054</v>
      </c>
      <c r="G93" s="19">
        <f t="shared" si="8"/>
        <v>115752</v>
      </c>
    </row>
    <row r="94">
      <c r="A94" s="12">
        <v>19.0</v>
      </c>
      <c r="B94" s="12" t="s">
        <v>303</v>
      </c>
      <c r="C94" s="13" t="s">
        <v>666</v>
      </c>
      <c r="D94" s="14">
        <v>29407.0</v>
      </c>
      <c r="E94" s="16"/>
      <c r="F94" s="14">
        <f t="shared" si="7"/>
        <v>29407</v>
      </c>
      <c r="G94" s="19">
        <f t="shared" si="8"/>
        <v>145159</v>
      </c>
    </row>
    <row r="95">
      <c r="A95" s="12">
        <v>20.0</v>
      </c>
      <c r="B95" s="12" t="s">
        <v>99</v>
      </c>
      <c r="C95" s="13" t="s">
        <v>114</v>
      </c>
      <c r="D95" s="14">
        <v>5026.0</v>
      </c>
      <c r="E95" s="16"/>
      <c r="F95" s="14">
        <f t="shared" si="7"/>
        <v>5026</v>
      </c>
      <c r="G95" s="19">
        <f t="shared" si="8"/>
        <v>150185</v>
      </c>
    </row>
    <row r="96">
      <c r="A96" s="12">
        <v>21.0</v>
      </c>
      <c r="B96" s="12" t="s">
        <v>51</v>
      </c>
      <c r="C96" s="13" t="s">
        <v>437</v>
      </c>
      <c r="D96" s="14">
        <v>5278.0</v>
      </c>
      <c r="E96" s="16"/>
      <c r="F96" s="14">
        <f t="shared" si="7"/>
        <v>5278</v>
      </c>
      <c r="G96" s="19">
        <f t="shared" si="8"/>
        <v>155463</v>
      </c>
    </row>
    <row r="97">
      <c r="A97" s="12">
        <v>22.0</v>
      </c>
      <c r="B97" s="12" t="s">
        <v>51</v>
      </c>
      <c r="C97" s="13" t="s">
        <v>437</v>
      </c>
      <c r="D97" s="14">
        <v>5542.0</v>
      </c>
      <c r="E97" s="16"/>
      <c r="F97" s="14">
        <f t="shared" si="7"/>
        <v>5542</v>
      </c>
      <c r="G97" s="19">
        <f t="shared" si="8"/>
        <v>161005</v>
      </c>
    </row>
    <row r="98">
      <c r="A98" s="24"/>
      <c r="B98" s="24"/>
      <c r="C98" s="26"/>
      <c r="D98" s="27">
        <v>23.0</v>
      </c>
      <c r="E98" s="28"/>
      <c r="F98" s="27">
        <f>SUM(F76:F97)</f>
        <v>161005</v>
      </c>
      <c r="G98" s="29">
        <f>G97</f>
        <v>161005</v>
      </c>
    </row>
  </sheetData>
  <mergeCells count="4">
    <mergeCell ref="A1:G2"/>
    <mergeCell ref="A20:G21"/>
    <mergeCell ref="A43:G44"/>
    <mergeCell ref="A73:G74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9.43"/>
    <col customWidth="1" min="3" max="3" width="62.29"/>
    <col customWidth="1" min="4" max="5" width="7.14"/>
    <col customWidth="1" min="6" max="6" width="8.0"/>
    <col customWidth="1" min="7" max="7" width="8.57"/>
  </cols>
  <sheetData>
    <row r="1">
      <c r="A1" s="4" t="s">
        <v>286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22</v>
      </c>
      <c r="C4" s="13" t="s">
        <v>27</v>
      </c>
      <c r="D4" s="14">
        <v>1611.0</v>
      </c>
      <c r="E4" s="16"/>
      <c r="F4" s="14">
        <f t="shared" ref="F4:F17" si="1">SUM(D4:E4)</f>
        <v>1611</v>
      </c>
      <c r="G4" s="19">
        <f>F4</f>
        <v>1611</v>
      </c>
    </row>
    <row r="5">
      <c r="A5" s="12">
        <v>2.0</v>
      </c>
      <c r="B5" s="12" t="s">
        <v>22</v>
      </c>
      <c r="C5" s="13" t="s">
        <v>27</v>
      </c>
      <c r="D5" s="14">
        <v>1611.0</v>
      </c>
      <c r="E5" s="16"/>
      <c r="F5" s="14">
        <f t="shared" si="1"/>
        <v>1611</v>
      </c>
      <c r="G5" s="19">
        <f t="shared" ref="G5:G17" si="2">G4+F5</f>
        <v>3222</v>
      </c>
    </row>
    <row r="6">
      <c r="A6" s="12">
        <v>3.0</v>
      </c>
      <c r="B6" s="12" t="s">
        <v>281</v>
      </c>
      <c r="C6" s="13" t="s">
        <v>627</v>
      </c>
      <c r="D6" s="14">
        <v>2267.0</v>
      </c>
      <c r="E6" s="16"/>
      <c r="F6" s="14">
        <f t="shared" si="1"/>
        <v>2267</v>
      </c>
      <c r="G6" s="19">
        <f t="shared" si="2"/>
        <v>5489</v>
      </c>
    </row>
    <row r="7">
      <c r="A7" s="12">
        <v>4.0</v>
      </c>
      <c r="B7" s="12" t="s">
        <v>12</v>
      </c>
      <c r="C7" s="13" t="s">
        <v>518</v>
      </c>
      <c r="D7" s="14">
        <v>1392.0</v>
      </c>
      <c r="E7" s="16"/>
      <c r="F7" s="14">
        <f t="shared" si="1"/>
        <v>1392</v>
      </c>
      <c r="G7" s="19">
        <f t="shared" si="2"/>
        <v>6881</v>
      </c>
    </row>
    <row r="8">
      <c r="A8" s="12">
        <v>5.0</v>
      </c>
      <c r="B8" s="12" t="s">
        <v>12</v>
      </c>
      <c r="C8" s="13" t="s">
        <v>518</v>
      </c>
      <c r="D8" s="14">
        <v>1461.0</v>
      </c>
      <c r="E8" s="16"/>
      <c r="F8" s="14">
        <f t="shared" si="1"/>
        <v>1461</v>
      </c>
      <c r="G8" s="19">
        <f t="shared" si="2"/>
        <v>8342</v>
      </c>
    </row>
    <row r="9">
      <c r="A9" s="12">
        <v>6.0</v>
      </c>
      <c r="B9" s="12" t="s">
        <v>12</v>
      </c>
      <c r="C9" s="13" t="s">
        <v>518</v>
      </c>
      <c r="D9" s="14">
        <v>1534.0</v>
      </c>
      <c r="E9" s="16"/>
      <c r="F9" s="14">
        <f t="shared" si="1"/>
        <v>1534</v>
      </c>
      <c r="G9" s="19">
        <f t="shared" si="2"/>
        <v>9876</v>
      </c>
    </row>
    <row r="10">
      <c r="A10" s="12">
        <v>7.0</v>
      </c>
      <c r="B10" s="12" t="s">
        <v>12</v>
      </c>
      <c r="C10" s="13" t="s">
        <v>518</v>
      </c>
      <c r="D10" s="14">
        <v>1611.0</v>
      </c>
      <c r="E10" s="16"/>
      <c r="F10" s="14">
        <f t="shared" si="1"/>
        <v>1611</v>
      </c>
      <c r="G10" s="19">
        <f t="shared" si="2"/>
        <v>11487</v>
      </c>
    </row>
    <row r="11">
      <c r="A11" s="12">
        <v>8.0</v>
      </c>
      <c r="B11" s="12" t="s">
        <v>22</v>
      </c>
      <c r="C11" s="13" t="s">
        <v>363</v>
      </c>
      <c r="D11" s="14">
        <v>2159.0</v>
      </c>
      <c r="E11" s="14">
        <v>2159.0</v>
      </c>
      <c r="F11" s="14">
        <f t="shared" si="1"/>
        <v>4318</v>
      </c>
      <c r="G11" s="19">
        <f t="shared" si="2"/>
        <v>15805</v>
      </c>
    </row>
    <row r="12">
      <c r="A12" s="12">
        <v>9.0</v>
      </c>
      <c r="B12" s="12" t="s">
        <v>25</v>
      </c>
      <c r="C12" s="13" t="s">
        <v>508</v>
      </c>
      <c r="D12" s="14">
        <v>1392.0</v>
      </c>
      <c r="E12" s="16"/>
      <c r="F12" s="14">
        <f t="shared" si="1"/>
        <v>1392</v>
      </c>
      <c r="G12" s="19">
        <f t="shared" si="2"/>
        <v>17197</v>
      </c>
    </row>
    <row r="13">
      <c r="A13" s="12">
        <v>10.0</v>
      </c>
      <c r="B13" s="12" t="s">
        <v>25</v>
      </c>
      <c r="C13" s="13" t="s">
        <v>508</v>
      </c>
      <c r="D13" s="14">
        <v>1461.0</v>
      </c>
      <c r="E13" s="16"/>
      <c r="F13" s="14">
        <f t="shared" si="1"/>
        <v>1461</v>
      </c>
      <c r="G13" s="19">
        <f t="shared" si="2"/>
        <v>18658</v>
      </c>
    </row>
    <row r="14">
      <c r="A14" s="12">
        <v>11.0</v>
      </c>
      <c r="B14" s="12" t="s">
        <v>25</v>
      </c>
      <c r="C14" s="13" t="s">
        <v>508</v>
      </c>
      <c r="D14" s="14">
        <v>1534.0</v>
      </c>
      <c r="E14" s="16"/>
      <c r="F14" s="14">
        <f t="shared" si="1"/>
        <v>1534</v>
      </c>
      <c r="G14" s="19">
        <f t="shared" si="2"/>
        <v>20192</v>
      </c>
    </row>
    <row r="15">
      <c r="A15" s="12">
        <v>12.0</v>
      </c>
      <c r="B15" s="12" t="s">
        <v>25</v>
      </c>
      <c r="C15" s="13" t="s">
        <v>508</v>
      </c>
      <c r="D15" s="14">
        <v>1611.0</v>
      </c>
      <c r="E15" s="16"/>
      <c r="F15" s="14">
        <f t="shared" si="1"/>
        <v>1611</v>
      </c>
      <c r="G15" s="19">
        <f t="shared" si="2"/>
        <v>21803</v>
      </c>
    </row>
    <row r="16">
      <c r="A16" s="12">
        <v>13.0</v>
      </c>
      <c r="B16" s="12" t="s">
        <v>22</v>
      </c>
      <c r="C16" s="13" t="s">
        <v>363</v>
      </c>
      <c r="D16" s="14">
        <v>2159.0</v>
      </c>
      <c r="E16" s="14">
        <v>2159.0</v>
      </c>
      <c r="F16" s="14">
        <f t="shared" si="1"/>
        <v>4318</v>
      </c>
      <c r="G16" s="19">
        <f t="shared" si="2"/>
        <v>26121</v>
      </c>
    </row>
    <row r="17">
      <c r="A17" s="12">
        <v>14.0</v>
      </c>
      <c r="B17" s="12" t="s">
        <v>419</v>
      </c>
      <c r="C17" s="13" t="s">
        <v>430</v>
      </c>
      <c r="D17" s="14">
        <v>6076.0</v>
      </c>
      <c r="E17" s="16"/>
      <c r="F17" s="14">
        <f t="shared" si="1"/>
        <v>6076</v>
      </c>
      <c r="G17" s="19">
        <f t="shared" si="2"/>
        <v>32197</v>
      </c>
    </row>
    <row r="18">
      <c r="A18" s="24"/>
      <c r="B18" s="24"/>
      <c r="C18" s="26"/>
      <c r="D18" s="27">
        <v>16.0</v>
      </c>
      <c r="E18" s="28"/>
      <c r="F18" s="27">
        <f>SUM(F4:F17)</f>
        <v>32197</v>
      </c>
      <c r="G18" s="29">
        <f>G17</f>
        <v>32197</v>
      </c>
    </row>
    <row r="19">
      <c r="C19" s="30"/>
      <c r="G19" s="30"/>
    </row>
    <row r="20">
      <c r="A20" s="4" t="s">
        <v>601</v>
      </c>
      <c r="B20" s="5"/>
      <c r="C20" s="5"/>
      <c r="D20" s="5"/>
      <c r="E20" s="5"/>
      <c r="F20" s="5"/>
      <c r="G20" s="6"/>
    </row>
    <row r="21">
      <c r="A21" s="7"/>
      <c r="B21" s="8"/>
      <c r="C21" s="8"/>
      <c r="D21" s="8"/>
      <c r="E21" s="8"/>
      <c r="F21" s="8"/>
      <c r="G21" s="9"/>
    </row>
    <row r="22">
      <c r="A22" s="10"/>
      <c r="B22" s="10" t="s">
        <v>6</v>
      </c>
      <c r="C22" s="11" t="s">
        <v>7</v>
      </c>
      <c r="D22" s="10" t="s">
        <v>8</v>
      </c>
      <c r="E22" s="10" t="s">
        <v>9</v>
      </c>
      <c r="F22" s="10" t="s">
        <v>10</v>
      </c>
      <c r="G22" s="11" t="s">
        <v>11</v>
      </c>
    </row>
    <row r="23">
      <c r="A23" s="12">
        <v>1.0</v>
      </c>
      <c r="B23" s="12" t="s">
        <v>47</v>
      </c>
      <c r="C23" s="13" t="s">
        <v>81</v>
      </c>
      <c r="D23" s="14">
        <v>1753.0</v>
      </c>
      <c r="E23" s="16"/>
      <c r="F23" s="14">
        <f t="shared" ref="F23:F40" si="3">SUM(D23:E23)</f>
        <v>1753</v>
      </c>
      <c r="G23" s="19">
        <f>F23</f>
        <v>1753</v>
      </c>
    </row>
    <row r="24">
      <c r="A24" s="12">
        <v>2.0</v>
      </c>
      <c r="B24" s="12" t="s">
        <v>47</v>
      </c>
      <c r="C24" s="13" t="s">
        <v>81</v>
      </c>
      <c r="D24" s="14">
        <v>1840.0</v>
      </c>
      <c r="E24" s="16"/>
      <c r="F24" s="14">
        <f t="shared" si="3"/>
        <v>1840</v>
      </c>
      <c r="G24" s="19">
        <f t="shared" ref="G24:G40" si="4">G23+F24</f>
        <v>3593</v>
      </c>
    </row>
    <row r="25">
      <c r="A25" s="12">
        <v>3.0</v>
      </c>
      <c r="B25" s="12" t="s">
        <v>47</v>
      </c>
      <c r="C25" s="13" t="s">
        <v>634</v>
      </c>
      <c r="D25" s="14">
        <v>1932.0</v>
      </c>
      <c r="E25" s="14">
        <v>1932.0</v>
      </c>
      <c r="F25" s="14">
        <f t="shared" si="3"/>
        <v>3864</v>
      </c>
      <c r="G25" s="19">
        <f t="shared" si="4"/>
        <v>7457</v>
      </c>
    </row>
    <row r="26">
      <c r="A26" s="12">
        <v>4.0</v>
      </c>
      <c r="B26" s="12" t="s">
        <v>43</v>
      </c>
      <c r="C26" s="13" t="s">
        <v>438</v>
      </c>
      <c r="D26" s="14">
        <v>1753.0</v>
      </c>
      <c r="E26" s="16"/>
      <c r="F26" s="14">
        <f t="shared" si="3"/>
        <v>1753</v>
      </c>
      <c r="G26" s="19">
        <f t="shared" si="4"/>
        <v>9210</v>
      </c>
    </row>
    <row r="27">
      <c r="A27" s="12">
        <v>5.0</v>
      </c>
      <c r="B27" s="12" t="s">
        <v>43</v>
      </c>
      <c r="C27" s="13" t="s">
        <v>636</v>
      </c>
      <c r="D27" s="14">
        <v>1840.0</v>
      </c>
      <c r="E27" s="16"/>
      <c r="F27" s="14">
        <f t="shared" si="3"/>
        <v>1840</v>
      </c>
      <c r="G27" s="19">
        <f t="shared" si="4"/>
        <v>11050</v>
      </c>
    </row>
    <row r="28">
      <c r="A28" s="12">
        <v>6.0</v>
      </c>
      <c r="B28" s="12" t="s">
        <v>43</v>
      </c>
      <c r="C28" s="13" t="s">
        <v>637</v>
      </c>
      <c r="D28" s="14">
        <v>1932.0</v>
      </c>
      <c r="E28" s="14">
        <v>1932.0</v>
      </c>
      <c r="F28" s="14">
        <f t="shared" si="3"/>
        <v>3864</v>
      </c>
      <c r="G28" s="19">
        <f t="shared" si="4"/>
        <v>14914</v>
      </c>
    </row>
    <row r="29">
      <c r="A29" s="12">
        <v>7.0</v>
      </c>
      <c r="B29" s="12" t="s">
        <v>45</v>
      </c>
      <c r="C29" s="13" t="s">
        <v>638</v>
      </c>
      <c r="D29" s="14">
        <v>2237.0</v>
      </c>
      <c r="E29" s="16"/>
      <c r="F29" s="14">
        <f t="shared" si="3"/>
        <v>2237</v>
      </c>
      <c r="G29" s="19">
        <f t="shared" si="4"/>
        <v>17151</v>
      </c>
    </row>
    <row r="30">
      <c r="A30" s="12">
        <v>8.0</v>
      </c>
      <c r="B30" s="12" t="s">
        <v>45</v>
      </c>
      <c r="C30" s="13" t="s">
        <v>638</v>
      </c>
      <c r="D30" s="14">
        <v>2349.0</v>
      </c>
      <c r="E30" s="16"/>
      <c r="F30" s="14">
        <f t="shared" si="3"/>
        <v>2349</v>
      </c>
      <c r="G30" s="19">
        <f t="shared" si="4"/>
        <v>19500</v>
      </c>
    </row>
    <row r="31">
      <c r="A31" s="12">
        <v>9.0</v>
      </c>
      <c r="B31" s="12" t="s">
        <v>45</v>
      </c>
      <c r="C31" s="13" t="s">
        <v>639</v>
      </c>
      <c r="D31" s="14">
        <v>2466.0</v>
      </c>
      <c r="E31" s="14">
        <v>2466.0</v>
      </c>
      <c r="F31" s="14">
        <f t="shared" si="3"/>
        <v>4932</v>
      </c>
      <c r="G31" s="19">
        <f t="shared" si="4"/>
        <v>24432</v>
      </c>
    </row>
    <row r="32">
      <c r="A32" s="12">
        <v>10.0</v>
      </c>
      <c r="B32" s="12" t="s">
        <v>45</v>
      </c>
      <c r="C32" s="13" t="s">
        <v>638</v>
      </c>
      <c r="D32" s="14">
        <v>2237.0</v>
      </c>
      <c r="E32" s="16"/>
      <c r="F32" s="14">
        <f t="shared" si="3"/>
        <v>2237</v>
      </c>
      <c r="G32" s="19">
        <f t="shared" si="4"/>
        <v>26669</v>
      </c>
    </row>
    <row r="33">
      <c r="A33" s="12">
        <v>11.0</v>
      </c>
      <c r="B33" s="12" t="s">
        <v>45</v>
      </c>
      <c r="C33" s="13" t="s">
        <v>638</v>
      </c>
      <c r="D33" s="14">
        <v>2349.0</v>
      </c>
      <c r="E33" s="16"/>
      <c r="F33" s="14">
        <f t="shared" si="3"/>
        <v>2349</v>
      </c>
      <c r="G33" s="19">
        <f t="shared" si="4"/>
        <v>29018</v>
      </c>
    </row>
    <row r="34">
      <c r="A34" s="12">
        <v>12.0</v>
      </c>
      <c r="B34" s="12" t="s">
        <v>51</v>
      </c>
      <c r="C34" s="13" t="s">
        <v>69</v>
      </c>
      <c r="D34" s="14">
        <v>1753.0</v>
      </c>
      <c r="E34" s="16"/>
      <c r="F34" s="14">
        <f t="shared" si="3"/>
        <v>1753</v>
      </c>
      <c r="G34" s="19">
        <f t="shared" si="4"/>
        <v>30771</v>
      </c>
    </row>
    <row r="35">
      <c r="A35" s="12">
        <v>13.0</v>
      </c>
      <c r="B35" s="12" t="s">
        <v>51</v>
      </c>
      <c r="C35" s="13" t="s">
        <v>69</v>
      </c>
      <c r="D35" s="14">
        <v>1840.0</v>
      </c>
      <c r="E35" s="16"/>
      <c r="F35" s="14">
        <f t="shared" si="3"/>
        <v>1840</v>
      </c>
      <c r="G35" s="19">
        <f t="shared" si="4"/>
        <v>32611</v>
      </c>
    </row>
    <row r="36">
      <c r="A36" s="12">
        <v>14.0</v>
      </c>
      <c r="B36" s="12" t="s">
        <v>51</v>
      </c>
      <c r="C36" s="13" t="s">
        <v>641</v>
      </c>
      <c r="D36" s="14">
        <v>1932.0</v>
      </c>
      <c r="E36" s="14">
        <v>1932.0</v>
      </c>
      <c r="F36" s="14">
        <f t="shared" si="3"/>
        <v>3864</v>
      </c>
      <c r="G36" s="19">
        <f t="shared" si="4"/>
        <v>36475</v>
      </c>
    </row>
    <row r="37">
      <c r="A37" s="12">
        <v>15.0</v>
      </c>
      <c r="B37" s="12" t="s">
        <v>40</v>
      </c>
      <c r="C37" s="13" t="s">
        <v>439</v>
      </c>
      <c r="D37" s="14">
        <v>1753.0</v>
      </c>
      <c r="E37" s="16"/>
      <c r="F37" s="14">
        <f t="shared" si="3"/>
        <v>1753</v>
      </c>
      <c r="G37" s="19">
        <f t="shared" si="4"/>
        <v>38228</v>
      </c>
    </row>
    <row r="38">
      <c r="A38" s="12">
        <v>16.0</v>
      </c>
      <c r="B38" s="12" t="s">
        <v>40</v>
      </c>
      <c r="C38" s="13" t="s">
        <v>642</v>
      </c>
      <c r="D38" s="14">
        <v>1840.0</v>
      </c>
      <c r="E38" s="16"/>
      <c r="F38" s="14">
        <f t="shared" si="3"/>
        <v>1840</v>
      </c>
      <c r="G38" s="19">
        <f t="shared" si="4"/>
        <v>40068</v>
      </c>
    </row>
    <row r="39">
      <c r="A39" s="12">
        <v>17.0</v>
      </c>
      <c r="B39" s="12" t="s">
        <v>40</v>
      </c>
      <c r="C39" s="13" t="s">
        <v>642</v>
      </c>
      <c r="D39" s="14">
        <v>1932.0</v>
      </c>
      <c r="E39" s="16"/>
      <c r="F39" s="14">
        <f t="shared" si="3"/>
        <v>1932</v>
      </c>
      <c r="G39" s="19">
        <f t="shared" si="4"/>
        <v>42000</v>
      </c>
    </row>
    <row r="40">
      <c r="A40" s="12">
        <v>18.0</v>
      </c>
      <c r="B40" s="12" t="s">
        <v>88</v>
      </c>
      <c r="C40" s="13" t="s">
        <v>643</v>
      </c>
      <c r="D40" s="14">
        <v>6295.0</v>
      </c>
      <c r="E40" s="16"/>
      <c r="F40" s="14">
        <f t="shared" si="3"/>
        <v>6295</v>
      </c>
      <c r="G40" s="19">
        <f t="shared" si="4"/>
        <v>48295</v>
      </c>
    </row>
    <row r="41">
      <c r="A41" s="24"/>
      <c r="B41" s="24"/>
      <c r="C41" s="26"/>
      <c r="D41" s="27">
        <v>22.0</v>
      </c>
      <c r="E41" s="28"/>
      <c r="F41" s="27">
        <f>SUM(F23:F40)</f>
        <v>48295</v>
      </c>
      <c r="G41" s="29">
        <f>G40</f>
        <v>48295</v>
      </c>
    </row>
    <row r="42">
      <c r="C42" s="30"/>
      <c r="G42" s="30"/>
    </row>
    <row r="43">
      <c r="A43" s="4" t="s">
        <v>625</v>
      </c>
      <c r="B43" s="5"/>
      <c r="C43" s="5"/>
      <c r="D43" s="5"/>
      <c r="E43" s="5"/>
      <c r="F43" s="5"/>
      <c r="G43" s="6"/>
    </row>
    <row r="44">
      <c r="A44" s="7"/>
      <c r="B44" s="8"/>
      <c r="C44" s="8"/>
      <c r="D44" s="8"/>
      <c r="E44" s="8"/>
      <c r="F44" s="8"/>
      <c r="G44" s="9"/>
    </row>
    <row r="45">
      <c r="A45" s="10"/>
      <c r="B45" s="10" t="s">
        <v>6</v>
      </c>
      <c r="C45" s="11" t="s">
        <v>7</v>
      </c>
      <c r="D45" s="10" t="s">
        <v>8</v>
      </c>
      <c r="E45" s="10" t="s">
        <v>9</v>
      </c>
      <c r="F45" s="10" t="s">
        <v>10</v>
      </c>
      <c r="G45" s="11" t="s">
        <v>11</v>
      </c>
    </row>
    <row r="46">
      <c r="A46" s="12">
        <v>1.0</v>
      </c>
      <c r="B46" s="12" t="s">
        <v>72</v>
      </c>
      <c r="C46" s="13" t="s">
        <v>453</v>
      </c>
      <c r="D46" s="14">
        <v>1969.0</v>
      </c>
      <c r="E46" s="16"/>
      <c r="F46" s="14">
        <f t="shared" ref="F46:F70" si="5">SUM(D46:E46)</f>
        <v>1969</v>
      </c>
      <c r="G46" s="19">
        <f>F46</f>
        <v>1969</v>
      </c>
    </row>
    <row r="47">
      <c r="A47" s="12">
        <v>2.0</v>
      </c>
      <c r="B47" s="12" t="s">
        <v>72</v>
      </c>
      <c r="C47" s="13" t="s">
        <v>453</v>
      </c>
      <c r="D47" s="14">
        <v>2067.0</v>
      </c>
      <c r="E47" s="16"/>
      <c r="F47" s="14">
        <f t="shared" si="5"/>
        <v>2067</v>
      </c>
      <c r="G47" s="19">
        <f t="shared" ref="G47:G70" si="6">G46+F47</f>
        <v>4036</v>
      </c>
    </row>
    <row r="48">
      <c r="A48" s="12">
        <v>3.0</v>
      </c>
      <c r="B48" s="12" t="s">
        <v>72</v>
      </c>
      <c r="C48" s="13" t="s">
        <v>453</v>
      </c>
      <c r="D48" s="14">
        <v>2171.0</v>
      </c>
      <c r="E48" s="16"/>
      <c r="F48" s="14">
        <f t="shared" si="5"/>
        <v>2171</v>
      </c>
      <c r="G48" s="19">
        <f t="shared" si="6"/>
        <v>6207</v>
      </c>
    </row>
    <row r="49">
      <c r="A49" s="12">
        <v>4.0</v>
      </c>
      <c r="B49" s="12" t="s">
        <v>72</v>
      </c>
      <c r="C49" s="13" t="s">
        <v>453</v>
      </c>
      <c r="D49" s="14">
        <v>2279.0</v>
      </c>
      <c r="E49" s="16"/>
      <c r="F49" s="14">
        <f t="shared" si="5"/>
        <v>2279</v>
      </c>
      <c r="G49" s="19">
        <f t="shared" si="6"/>
        <v>8486</v>
      </c>
    </row>
    <row r="50">
      <c r="A50" s="12">
        <v>5.0</v>
      </c>
      <c r="B50" s="12" t="s">
        <v>60</v>
      </c>
      <c r="C50" s="13" t="s">
        <v>117</v>
      </c>
      <c r="D50" s="14">
        <v>2393.0</v>
      </c>
      <c r="E50" s="16"/>
      <c r="F50" s="14">
        <f t="shared" si="5"/>
        <v>2393</v>
      </c>
      <c r="G50" s="19">
        <f t="shared" si="6"/>
        <v>10879</v>
      </c>
    </row>
    <row r="51">
      <c r="A51" s="12">
        <v>6.0</v>
      </c>
      <c r="B51" s="12" t="s">
        <v>60</v>
      </c>
      <c r="C51" s="13" t="s">
        <v>464</v>
      </c>
      <c r="D51" s="14">
        <v>2513.0</v>
      </c>
      <c r="E51" s="16"/>
      <c r="F51" s="14">
        <f t="shared" si="5"/>
        <v>2513</v>
      </c>
      <c r="G51" s="19">
        <f t="shared" si="6"/>
        <v>13392</v>
      </c>
    </row>
    <row r="52">
      <c r="A52" s="12">
        <v>7.0</v>
      </c>
      <c r="B52" s="12" t="s">
        <v>60</v>
      </c>
      <c r="C52" s="13" t="s">
        <v>117</v>
      </c>
      <c r="D52" s="14">
        <v>2513.0</v>
      </c>
      <c r="E52" s="16"/>
      <c r="F52" s="14">
        <f t="shared" si="5"/>
        <v>2513</v>
      </c>
      <c r="G52" s="19">
        <f t="shared" si="6"/>
        <v>15905</v>
      </c>
    </row>
    <row r="53">
      <c r="A53" s="12">
        <v>8.0</v>
      </c>
      <c r="B53" s="12" t="s">
        <v>70</v>
      </c>
      <c r="C53" s="13" t="s">
        <v>402</v>
      </c>
      <c r="D53" s="14">
        <v>3367.0</v>
      </c>
      <c r="E53" s="14">
        <v>3367.0</v>
      </c>
      <c r="F53" s="14">
        <f t="shared" si="5"/>
        <v>6734</v>
      </c>
      <c r="G53" s="19">
        <f t="shared" si="6"/>
        <v>22639</v>
      </c>
    </row>
    <row r="54">
      <c r="A54" s="12">
        <v>9.0</v>
      </c>
      <c r="B54" s="12" t="s">
        <v>64</v>
      </c>
      <c r="C54" s="13" t="s">
        <v>492</v>
      </c>
      <c r="D54" s="14">
        <v>2770.0</v>
      </c>
      <c r="E54" s="16"/>
      <c r="F54" s="14">
        <f t="shared" si="5"/>
        <v>2770</v>
      </c>
      <c r="G54" s="19">
        <f t="shared" si="6"/>
        <v>25409</v>
      </c>
    </row>
    <row r="55">
      <c r="A55" s="12">
        <v>10.0</v>
      </c>
      <c r="B55" s="12" t="s">
        <v>64</v>
      </c>
      <c r="C55" s="13" t="s">
        <v>492</v>
      </c>
      <c r="D55" s="14">
        <v>2770.0</v>
      </c>
      <c r="E55" s="16"/>
      <c r="F55" s="14">
        <f t="shared" si="5"/>
        <v>2770</v>
      </c>
      <c r="G55" s="19">
        <f t="shared" si="6"/>
        <v>28179</v>
      </c>
    </row>
    <row r="56">
      <c r="A56" s="12">
        <v>11.0</v>
      </c>
      <c r="B56" s="12" t="s">
        <v>79</v>
      </c>
      <c r="C56" s="13" t="s">
        <v>460</v>
      </c>
      <c r="D56" s="14">
        <v>1969.0</v>
      </c>
      <c r="E56" s="16"/>
      <c r="F56" s="14">
        <f t="shared" si="5"/>
        <v>1969</v>
      </c>
      <c r="G56" s="19">
        <f t="shared" si="6"/>
        <v>30148</v>
      </c>
    </row>
    <row r="57">
      <c r="A57" s="12">
        <v>12.0</v>
      </c>
      <c r="B57" s="12" t="s">
        <v>79</v>
      </c>
      <c r="C57" s="13" t="s">
        <v>460</v>
      </c>
      <c r="D57" s="14">
        <v>2067.0</v>
      </c>
      <c r="E57" s="16"/>
      <c r="F57" s="14">
        <f t="shared" si="5"/>
        <v>2067</v>
      </c>
      <c r="G57" s="19">
        <f t="shared" si="6"/>
        <v>32215</v>
      </c>
    </row>
    <row r="58">
      <c r="A58" s="12">
        <v>13.0</v>
      </c>
      <c r="B58" s="12" t="s">
        <v>79</v>
      </c>
      <c r="C58" s="13" t="s">
        <v>460</v>
      </c>
      <c r="D58" s="14">
        <v>2171.0</v>
      </c>
      <c r="E58" s="16"/>
      <c r="F58" s="14">
        <f t="shared" si="5"/>
        <v>2171</v>
      </c>
      <c r="G58" s="19">
        <f t="shared" si="6"/>
        <v>34386</v>
      </c>
    </row>
    <row r="59">
      <c r="A59" s="12">
        <v>14.0</v>
      </c>
      <c r="B59" s="12" t="s">
        <v>79</v>
      </c>
      <c r="C59" s="13" t="s">
        <v>460</v>
      </c>
      <c r="D59" s="14">
        <v>2279.0</v>
      </c>
      <c r="E59" s="16"/>
      <c r="F59" s="14">
        <f t="shared" si="5"/>
        <v>2279</v>
      </c>
      <c r="G59" s="19">
        <f t="shared" si="6"/>
        <v>36665</v>
      </c>
    </row>
    <row r="60">
      <c r="A60" s="12">
        <v>15.0</v>
      </c>
      <c r="B60" s="12" t="s">
        <v>83</v>
      </c>
      <c r="C60" s="13" t="s">
        <v>462</v>
      </c>
      <c r="D60" s="14">
        <v>3054.0</v>
      </c>
      <c r="E60" s="16"/>
      <c r="F60" s="14">
        <f t="shared" si="5"/>
        <v>3054</v>
      </c>
      <c r="G60" s="19">
        <f t="shared" si="6"/>
        <v>39719</v>
      </c>
    </row>
    <row r="61">
      <c r="A61" s="12">
        <v>16.0</v>
      </c>
      <c r="B61" s="12" t="s">
        <v>60</v>
      </c>
      <c r="C61" s="13" t="s">
        <v>117</v>
      </c>
      <c r="D61" s="14">
        <v>2513.0</v>
      </c>
      <c r="E61" s="16"/>
      <c r="F61" s="14">
        <f t="shared" si="5"/>
        <v>2513</v>
      </c>
      <c r="G61" s="19">
        <f t="shared" si="6"/>
        <v>42232</v>
      </c>
    </row>
    <row r="62">
      <c r="A62" s="12">
        <v>17.0</v>
      </c>
      <c r="B62" s="12" t="s">
        <v>83</v>
      </c>
      <c r="C62" s="13" t="s">
        <v>399</v>
      </c>
      <c r="D62" s="14">
        <v>3054.0</v>
      </c>
      <c r="E62" s="14">
        <v>3054.0</v>
      </c>
      <c r="F62" s="14">
        <f t="shared" si="5"/>
        <v>6108</v>
      </c>
      <c r="G62" s="19">
        <f t="shared" si="6"/>
        <v>48340</v>
      </c>
    </row>
    <row r="63">
      <c r="A63" s="12">
        <v>18.0</v>
      </c>
      <c r="B63" s="12" t="s">
        <v>67</v>
      </c>
      <c r="C63" s="13" t="s">
        <v>125</v>
      </c>
      <c r="D63" s="14">
        <v>2393.0</v>
      </c>
      <c r="E63" s="16"/>
      <c r="F63" s="14">
        <f t="shared" si="5"/>
        <v>2393</v>
      </c>
      <c r="G63" s="19">
        <f t="shared" si="6"/>
        <v>50733</v>
      </c>
    </row>
    <row r="64">
      <c r="A64" s="12">
        <v>19.0</v>
      </c>
      <c r="B64" s="12" t="s">
        <v>67</v>
      </c>
      <c r="C64" s="13" t="s">
        <v>125</v>
      </c>
      <c r="D64" s="14">
        <v>2513.0</v>
      </c>
      <c r="E64" s="16"/>
      <c r="F64" s="14">
        <f t="shared" si="5"/>
        <v>2513</v>
      </c>
      <c r="G64" s="19">
        <f t="shared" si="6"/>
        <v>53246</v>
      </c>
    </row>
    <row r="65">
      <c r="A65" s="12">
        <v>20.0</v>
      </c>
      <c r="B65" s="12" t="s">
        <v>67</v>
      </c>
      <c r="C65" s="13" t="s">
        <v>125</v>
      </c>
      <c r="D65" s="14">
        <v>2513.0</v>
      </c>
      <c r="E65" s="16"/>
      <c r="F65" s="14">
        <f t="shared" si="5"/>
        <v>2513</v>
      </c>
      <c r="G65" s="19">
        <f t="shared" si="6"/>
        <v>55759</v>
      </c>
    </row>
    <row r="66">
      <c r="A66" s="12">
        <v>21.0</v>
      </c>
      <c r="B66" s="12" t="s">
        <v>67</v>
      </c>
      <c r="C66" s="13" t="s">
        <v>471</v>
      </c>
      <c r="D66" s="14">
        <v>2513.0</v>
      </c>
      <c r="E66" s="16"/>
      <c r="F66" s="14">
        <f t="shared" si="5"/>
        <v>2513</v>
      </c>
      <c r="G66" s="19">
        <f t="shared" si="6"/>
        <v>58272</v>
      </c>
    </row>
    <row r="67">
      <c r="A67" s="12">
        <v>22.0</v>
      </c>
      <c r="B67" s="12" t="s">
        <v>70</v>
      </c>
      <c r="C67" s="13" t="s">
        <v>402</v>
      </c>
      <c r="D67" s="14">
        <v>3367.0</v>
      </c>
      <c r="E67" s="14">
        <v>3367.0</v>
      </c>
      <c r="F67" s="14">
        <f t="shared" si="5"/>
        <v>6734</v>
      </c>
      <c r="G67" s="19">
        <f t="shared" si="6"/>
        <v>65006</v>
      </c>
    </row>
    <row r="68">
      <c r="A68" s="12">
        <v>23.0</v>
      </c>
      <c r="B68" s="12" t="s">
        <v>75</v>
      </c>
      <c r="C68" s="13" t="s">
        <v>482</v>
      </c>
      <c r="D68" s="14">
        <v>2770.0</v>
      </c>
      <c r="E68" s="16"/>
      <c r="F68" s="14">
        <f t="shared" si="5"/>
        <v>2770</v>
      </c>
      <c r="G68" s="19">
        <f t="shared" si="6"/>
        <v>67776</v>
      </c>
    </row>
    <row r="69">
      <c r="A69" s="12">
        <v>24.0</v>
      </c>
      <c r="B69" s="12" t="s">
        <v>75</v>
      </c>
      <c r="C69" s="13" t="s">
        <v>482</v>
      </c>
      <c r="D69" s="14">
        <v>2770.0</v>
      </c>
      <c r="E69" s="16"/>
      <c r="F69" s="14">
        <f t="shared" si="5"/>
        <v>2770</v>
      </c>
      <c r="G69" s="19">
        <f t="shared" si="6"/>
        <v>70546</v>
      </c>
    </row>
    <row r="70">
      <c r="A70" s="12">
        <v>25.0</v>
      </c>
      <c r="B70" s="12" t="s">
        <v>516</v>
      </c>
      <c r="C70" s="13" t="s">
        <v>517</v>
      </c>
      <c r="D70" s="14">
        <v>9950.0</v>
      </c>
      <c r="E70" s="16"/>
      <c r="F70" s="14">
        <f t="shared" si="5"/>
        <v>9950</v>
      </c>
      <c r="G70" s="19">
        <f t="shared" si="6"/>
        <v>80496</v>
      </c>
    </row>
    <row r="71">
      <c r="A71" s="24"/>
      <c r="B71" s="24"/>
      <c r="C71" s="26"/>
      <c r="D71" s="27">
        <v>28.0</v>
      </c>
      <c r="E71" s="28"/>
      <c r="F71" s="27">
        <f>SUM(F46:F70)</f>
        <v>80496</v>
      </c>
      <c r="G71" s="29">
        <f>G70</f>
        <v>80496</v>
      </c>
    </row>
    <row r="72">
      <c r="C72" s="30"/>
      <c r="G72" s="30"/>
    </row>
    <row r="73">
      <c r="A73" s="4" t="s">
        <v>645</v>
      </c>
      <c r="B73" s="5"/>
      <c r="C73" s="5"/>
      <c r="D73" s="5"/>
      <c r="E73" s="5"/>
      <c r="F73" s="5"/>
      <c r="G73" s="6"/>
    </row>
    <row r="74">
      <c r="A74" s="7"/>
      <c r="B74" s="8"/>
      <c r="C74" s="8"/>
      <c r="D74" s="8"/>
      <c r="E74" s="8"/>
      <c r="F74" s="8"/>
      <c r="G74" s="9"/>
    </row>
    <row r="75">
      <c r="A75" s="10"/>
      <c r="B75" s="10" t="s">
        <v>6</v>
      </c>
      <c r="C75" s="11" t="s">
        <v>7</v>
      </c>
      <c r="D75" s="10" t="s">
        <v>8</v>
      </c>
      <c r="E75" s="10" t="s">
        <v>9</v>
      </c>
      <c r="F75" s="10" t="s">
        <v>10</v>
      </c>
      <c r="G75" s="11" t="s">
        <v>11</v>
      </c>
    </row>
    <row r="76">
      <c r="A76" s="12">
        <v>1.0</v>
      </c>
      <c r="B76" s="12" t="s">
        <v>93</v>
      </c>
      <c r="C76" s="13" t="s">
        <v>136</v>
      </c>
      <c r="D76" s="14">
        <v>5026.0</v>
      </c>
      <c r="E76" s="16"/>
      <c r="F76" s="14">
        <f t="shared" ref="F76:F97" si="7">SUM(D76:E76)</f>
        <v>5026</v>
      </c>
      <c r="G76" s="19">
        <f>F76</f>
        <v>5026</v>
      </c>
    </row>
    <row r="77">
      <c r="A77" s="12">
        <v>2.0</v>
      </c>
      <c r="B77" s="12" t="s">
        <v>47</v>
      </c>
      <c r="C77" s="13" t="s">
        <v>447</v>
      </c>
      <c r="D77" s="14">
        <v>5278.0</v>
      </c>
      <c r="E77" s="16"/>
      <c r="F77" s="14">
        <f t="shared" si="7"/>
        <v>5278</v>
      </c>
      <c r="G77" s="19">
        <f t="shared" ref="G77:G97" si="8">G76+F77</f>
        <v>10304</v>
      </c>
    </row>
    <row r="78">
      <c r="A78" s="12">
        <v>3.0</v>
      </c>
      <c r="B78" s="12" t="s">
        <v>47</v>
      </c>
      <c r="C78" s="13" t="s">
        <v>447</v>
      </c>
      <c r="D78" s="14">
        <v>5542.0</v>
      </c>
      <c r="E78" s="16"/>
      <c r="F78" s="14">
        <f t="shared" si="7"/>
        <v>5542</v>
      </c>
      <c r="G78" s="19">
        <f t="shared" si="8"/>
        <v>15846</v>
      </c>
    </row>
    <row r="79">
      <c r="A79" s="12">
        <v>4.0</v>
      </c>
      <c r="B79" s="12" t="s">
        <v>93</v>
      </c>
      <c r="C79" s="13" t="s">
        <v>490</v>
      </c>
      <c r="D79" s="14">
        <v>5026.0</v>
      </c>
      <c r="E79" s="16"/>
      <c r="F79" s="14">
        <f t="shared" si="7"/>
        <v>5026</v>
      </c>
      <c r="G79" s="19">
        <f t="shared" si="8"/>
        <v>20872</v>
      </c>
    </row>
    <row r="80">
      <c r="A80" s="12">
        <v>5.0</v>
      </c>
      <c r="B80" s="12" t="s">
        <v>93</v>
      </c>
      <c r="C80" s="13" t="s">
        <v>490</v>
      </c>
      <c r="D80" s="14">
        <v>5278.0</v>
      </c>
      <c r="E80" s="16"/>
      <c r="F80" s="14">
        <f t="shared" si="7"/>
        <v>5278</v>
      </c>
      <c r="G80" s="19">
        <f t="shared" si="8"/>
        <v>26150</v>
      </c>
    </row>
    <row r="81">
      <c r="A81" s="12">
        <v>6.0</v>
      </c>
      <c r="B81" s="12" t="s">
        <v>93</v>
      </c>
      <c r="C81" s="13" t="s">
        <v>490</v>
      </c>
      <c r="D81" s="14">
        <v>5542.0</v>
      </c>
      <c r="E81" s="16"/>
      <c r="F81" s="14">
        <f t="shared" si="7"/>
        <v>5542</v>
      </c>
      <c r="G81" s="19">
        <f t="shared" si="8"/>
        <v>31692</v>
      </c>
    </row>
    <row r="82">
      <c r="A82" s="12">
        <v>7.0</v>
      </c>
      <c r="B82" s="12" t="s">
        <v>104</v>
      </c>
      <c r="C82" s="13" t="s">
        <v>132</v>
      </c>
      <c r="D82" s="14">
        <v>5819.0</v>
      </c>
      <c r="E82" s="16"/>
      <c r="F82" s="14">
        <f t="shared" si="7"/>
        <v>5819</v>
      </c>
      <c r="G82" s="19">
        <f t="shared" si="8"/>
        <v>37511</v>
      </c>
    </row>
    <row r="83">
      <c r="A83" s="12">
        <v>8.0</v>
      </c>
      <c r="B83" s="12" t="s">
        <v>104</v>
      </c>
      <c r="C83" s="13" t="s">
        <v>478</v>
      </c>
      <c r="D83" s="14">
        <v>6110.0</v>
      </c>
      <c r="E83" s="16"/>
      <c r="F83" s="14">
        <f t="shared" si="7"/>
        <v>6110</v>
      </c>
      <c r="G83" s="19">
        <f t="shared" si="8"/>
        <v>43621</v>
      </c>
    </row>
    <row r="84">
      <c r="A84" s="12">
        <v>9.0</v>
      </c>
      <c r="B84" s="12" t="s">
        <v>104</v>
      </c>
      <c r="C84" s="13" t="s">
        <v>478</v>
      </c>
      <c r="D84" s="14">
        <v>6415.0</v>
      </c>
      <c r="E84" s="16"/>
      <c r="F84" s="14">
        <f t="shared" si="7"/>
        <v>6415</v>
      </c>
      <c r="G84" s="19">
        <f t="shared" si="8"/>
        <v>50036</v>
      </c>
    </row>
    <row r="85">
      <c r="A85" s="12">
        <v>10.0</v>
      </c>
      <c r="B85" s="12" t="s">
        <v>104</v>
      </c>
      <c r="C85" s="13" t="s">
        <v>478</v>
      </c>
      <c r="D85" s="14">
        <v>6736.0</v>
      </c>
      <c r="E85" s="16"/>
      <c r="F85" s="14">
        <f t="shared" si="7"/>
        <v>6736</v>
      </c>
      <c r="G85" s="19">
        <f t="shared" si="8"/>
        <v>56772</v>
      </c>
    </row>
    <row r="86">
      <c r="A86" s="12">
        <v>11.0</v>
      </c>
      <c r="B86" s="12" t="s">
        <v>99</v>
      </c>
      <c r="C86" s="13" t="s">
        <v>494</v>
      </c>
      <c r="D86" s="14">
        <v>5026.0</v>
      </c>
      <c r="E86" s="16"/>
      <c r="F86" s="14">
        <f t="shared" si="7"/>
        <v>5026</v>
      </c>
      <c r="G86" s="19">
        <f t="shared" si="8"/>
        <v>61798</v>
      </c>
    </row>
    <row r="87">
      <c r="A87" s="12">
        <v>12.0</v>
      </c>
      <c r="B87" s="12" t="s">
        <v>99</v>
      </c>
      <c r="C87" s="13" t="s">
        <v>494</v>
      </c>
      <c r="D87" s="14">
        <v>5278.0</v>
      </c>
      <c r="E87" s="16"/>
      <c r="F87" s="14">
        <f t="shared" si="7"/>
        <v>5278</v>
      </c>
      <c r="G87" s="19">
        <f t="shared" si="8"/>
        <v>67076</v>
      </c>
    </row>
    <row r="88">
      <c r="A88" s="12">
        <v>13.0</v>
      </c>
      <c r="B88" s="12" t="s">
        <v>99</v>
      </c>
      <c r="C88" s="13" t="s">
        <v>494</v>
      </c>
      <c r="D88" s="14">
        <v>5542.0</v>
      </c>
      <c r="E88" s="16"/>
      <c r="F88" s="14">
        <f t="shared" si="7"/>
        <v>5542</v>
      </c>
      <c r="G88" s="19">
        <f t="shared" si="8"/>
        <v>72618</v>
      </c>
    </row>
    <row r="89">
      <c r="A89" s="12">
        <v>14.0</v>
      </c>
      <c r="B89" s="12" t="s">
        <v>106</v>
      </c>
      <c r="C89" s="13" t="s">
        <v>483</v>
      </c>
      <c r="D89" s="14">
        <v>5819.0</v>
      </c>
      <c r="E89" s="16"/>
      <c r="F89" s="14">
        <f t="shared" si="7"/>
        <v>5819</v>
      </c>
      <c r="G89" s="19">
        <f t="shared" si="8"/>
        <v>78437</v>
      </c>
    </row>
    <row r="90">
      <c r="A90" s="12">
        <v>15.0</v>
      </c>
      <c r="B90" s="12" t="s">
        <v>106</v>
      </c>
      <c r="C90" s="13" t="s">
        <v>133</v>
      </c>
      <c r="D90" s="14">
        <v>6110.0</v>
      </c>
      <c r="E90" s="16"/>
      <c r="F90" s="14">
        <f t="shared" si="7"/>
        <v>6110</v>
      </c>
      <c r="G90" s="19">
        <f t="shared" si="8"/>
        <v>84547</v>
      </c>
    </row>
    <row r="91">
      <c r="A91" s="12">
        <v>16.0</v>
      </c>
      <c r="B91" s="12" t="s">
        <v>106</v>
      </c>
      <c r="C91" s="13" t="s">
        <v>483</v>
      </c>
      <c r="D91" s="14">
        <v>6415.0</v>
      </c>
      <c r="E91" s="16"/>
      <c r="F91" s="14">
        <f t="shared" si="7"/>
        <v>6415</v>
      </c>
      <c r="G91" s="19">
        <f t="shared" si="8"/>
        <v>90962</v>
      </c>
    </row>
    <row r="92">
      <c r="A92" s="12">
        <v>17.0</v>
      </c>
      <c r="B92" s="12" t="s">
        <v>106</v>
      </c>
      <c r="C92" s="13" t="s">
        <v>483</v>
      </c>
      <c r="D92" s="14">
        <v>6736.0</v>
      </c>
      <c r="E92" s="16"/>
      <c r="F92" s="14">
        <f t="shared" si="7"/>
        <v>6736</v>
      </c>
      <c r="G92" s="19">
        <f t="shared" si="8"/>
        <v>97698</v>
      </c>
    </row>
    <row r="93">
      <c r="A93" s="12">
        <v>18.0</v>
      </c>
      <c r="B93" s="12" t="s">
        <v>22</v>
      </c>
      <c r="C93" s="13" t="s">
        <v>410</v>
      </c>
      <c r="D93" s="14">
        <v>9027.0</v>
      </c>
      <c r="E93" s="14">
        <v>9027.0</v>
      </c>
      <c r="F93" s="14">
        <f t="shared" si="7"/>
        <v>18054</v>
      </c>
      <c r="G93" s="19">
        <f t="shared" si="8"/>
        <v>115752</v>
      </c>
    </row>
    <row r="94">
      <c r="A94" s="12">
        <v>19.0</v>
      </c>
      <c r="B94" s="12" t="s">
        <v>287</v>
      </c>
      <c r="C94" s="13" t="s">
        <v>669</v>
      </c>
      <c r="D94" s="14">
        <v>29407.0</v>
      </c>
      <c r="E94" s="16"/>
      <c r="F94" s="14">
        <f t="shared" si="7"/>
        <v>29407</v>
      </c>
      <c r="G94" s="19">
        <f t="shared" si="8"/>
        <v>145159</v>
      </c>
    </row>
    <row r="95">
      <c r="A95" s="12">
        <v>20.0</v>
      </c>
      <c r="B95" s="12" t="s">
        <v>99</v>
      </c>
      <c r="C95" s="13" t="s">
        <v>137</v>
      </c>
      <c r="D95" s="14">
        <v>5026.0</v>
      </c>
      <c r="E95" s="16"/>
      <c r="F95" s="14">
        <f t="shared" si="7"/>
        <v>5026</v>
      </c>
      <c r="G95" s="19">
        <f t="shared" si="8"/>
        <v>150185</v>
      </c>
    </row>
    <row r="96">
      <c r="A96" s="12">
        <v>21.0</v>
      </c>
      <c r="B96" s="12" t="s">
        <v>51</v>
      </c>
      <c r="C96" s="13" t="s">
        <v>449</v>
      </c>
      <c r="D96" s="14">
        <v>5278.0</v>
      </c>
      <c r="E96" s="16"/>
      <c r="F96" s="14">
        <f t="shared" si="7"/>
        <v>5278</v>
      </c>
      <c r="G96" s="19">
        <f t="shared" si="8"/>
        <v>155463</v>
      </c>
    </row>
    <row r="97">
      <c r="A97" s="12">
        <v>22.0</v>
      </c>
      <c r="B97" s="12" t="s">
        <v>51</v>
      </c>
      <c r="C97" s="13" t="s">
        <v>449</v>
      </c>
      <c r="D97" s="14">
        <v>5542.0</v>
      </c>
      <c r="E97" s="16"/>
      <c r="F97" s="14">
        <f t="shared" si="7"/>
        <v>5542</v>
      </c>
      <c r="G97" s="19">
        <f t="shared" si="8"/>
        <v>161005</v>
      </c>
    </row>
    <row r="98">
      <c r="A98" s="24"/>
      <c r="B98" s="24"/>
      <c r="C98" s="26"/>
      <c r="D98" s="27">
        <v>23.0</v>
      </c>
      <c r="E98" s="28"/>
      <c r="F98" s="27">
        <f>SUM(F76:F97)</f>
        <v>161005</v>
      </c>
      <c r="G98" s="29">
        <f>G97</f>
        <v>161005</v>
      </c>
    </row>
  </sheetData>
  <mergeCells count="4">
    <mergeCell ref="A1:G2"/>
    <mergeCell ref="A20:G21"/>
    <mergeCell ref="A43:G44"/>
    <mergeCell ref="A73:G74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8.86"/>
    <col customWidth="1" min="3" max="3" width="65.14"/>
    <col customWidth="1" min="4" max="5" width="7.14"/>
    <col customWidth="1" min="6" max="6" width="8.0"/>
    <col customWidth="1" min="7" max="7" width="8.57"/>
  </cols>
  <sheetData>
    <row r="1">
      <c r="A1" s="4" t="s">
        <v>290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22</v>
      </c>
      <c r="C4" s="13" t="s">
        <v>23</v>
      </c>
      <c r="D4" s="14">
        <v>1640.0</v>
      </c>
      <c r="E4" s="16"/>
      <c r="F4" s="14">
        <f t="shared" ref="F4:F17" si="1">SUM(D4:E4)</f>
        <v>1640</v>
      </c>
      <c r="G4" s="19">
        <f>F4</f>
        <v>1640</v>
      </c>
    </row>
    <row r="5">
      <c r="A5" s="12">
        <v>2.0</v>
      </c>
      <c r="B5" s="12" t="s">
        <v>22</v>
      </c>
      <c r="C5" s="13" t="s">
        <v>23</v>
      </c>
      <c r="D5" s="14">
        <v>1640.0</v>
      </c>
      <c r="E5" s="16"/>
      <c r="F5" s="14">
        <f t="shared" si="1"/>
        <v>1640</v>
      </c>
      <c r="G5" s="19">
        <f t="shared" ref="G5:G17" si="2">G4+F5</f>
        <v>3280</v>
      </c>
    </row>
    <row r="6">
      <c r="A6" s="12">
        <v>3.0</v>
      </c>
      <c r="B6" s="12" t="s">
        <v>144</v>
      </c>
      <c r="C6" s="13" t="s">
        <v>640</v>
      </c>
      <c r="D6" s="14">
        <v>1723.0</v>
      </c>
      <c r="E6" s="16"/>
      <c r="F6" s="14">
        <f t="shared" si="1"/>
        <v>1723</v>
      </c>
      <c r="G6" s="19">
        <f t="shared" si="2"/>
        <v>5003</v>
      </c>
    </row>
    <row r="7">
      <c r="A7" s="12">
        <v>4.0</v>
      </c>
      <c r="B7" s="12" t="s">
        <v>12</v>
      </c>
      <c r="C7" s="13" t="s">
        <v>567</v>
      </c>
      <c r="D7" s="14">
        <v>1417.0</v>
      </c>
      <c r="E7" s="16"/>
      <c r="F7" s="14">
        <f t="shared" si="1"/>
        <v>1417</v>
      </c>
      <c r="G7" s="19">
        <f t="shared" si="2"/>
        <v>6420</v>
      </c>
    </row>
    <row r="8">
      <c r="A8" s="12">
        <v>5.0</v>
      </c>
      <c r="B8" s="12" t="s">
        <v>12</v>
      </c>
      <c r="C8" s="13" t="s">
        <v>567</v>
      </c>
      <c r="D8" s="14">
        <v>1488.0</v>
      </c>
      <c r="E8" s="16"/>
      <c r="F8" s="14">
        <f t="shared" si="1"/>
        <v>1488</v>
      </c>
      <c r="G8" s="19">
        <f t="shared" si="2"/>
        <v>7908</v>
      </c>
    </row>
    <row r="9">
      <c r="A9" s="12">
        <v>6.0</v>
      </c>
      <c r="B9" s="12" t="s">
        <v>12</v>
      </c>
      <c r="C9" s="13" t="s">
        <v>567</v>
      </c>
      <c r="D9" s="14">
        <v>1562.0</v>
      </c>
      <c r="E9" s="16"/>
      <c r="F9" s="14">
        <f t="shared" si="1"/>
        <v>1562</v>
      </c>
      <c r="G9" s="19">
        <f t="shared" si="2"/>
        <v>9470</v>
      </c>
    </row>
    <row r="10">
      <c r="A10" s="12">
        <v>7.0</v>
      </c>
      <c r="B10" s="12" t="s">
        <v>12</v>
      </c>
      <c r="C10" s="13" t="s">
        <v>567</v>
      </c>
      <c r="D10" s="14">
        <v>1640.0</v>
      </c>
      <c r="E10" s="16"/>
      <c r="F10" s="14">
        <f t="shared" si="1"/>
        <v>1640</v>
      </c>
      <c r="G10" s="19">
        <f t="shared" si="2"/>
        <v>11110</v>
      </c>
    </row>
    <row r="11">
      <c r="A11" s="12">
        <v>8.0</v>
      </c>
      <c r="B11" s="12" t="s">
        <v>22</v>
      </c>
      <c r="C11" s="13" t="s">
        <v>385</v>
      </c>
      <c r="D11" s="14">
        <v>2198.0</v>
      </c>
      <c r="E11" s="14">
        <v>2198.0</v>
      </c>
      <c r="F11" s="14">
        <f t="shared" si="1"/>
        <v>4396</v>
      </c>
      <c r="G11" s="19">
        <f t="shared" si="2"/>
        <v>15506</v>
      </c>
    </row>
    <row r="12">
      <c r="A12" s="12">
        <v>9.0</v>
      </c>
      <c r="B12" s="12" t="s">
        <v>25</v>
      </c>
      <c r="C12" s="13" t="s">
        <v>573</v>
      </c>
      <c r="D12" s="14">
        <v>1417.0</v>
      </c>
      <c r="E12" s="16"/>
      <c r="F12" s="14">
        <f t="shared" si="1"/>
        <v>1417</v>
      </c>
      <c r="G12" s="19">
        <f t="shared" si="2"/>
        <v>16923</v>
      </c>
    </row>
    <row r="13">
      <c r="A13" s="12">
        <v>10.0</v>
      </c>
      <c r="B13" s="12" t="s">
        <v>25</v>
      </c>
      <c r="C13" s="13" t="s">
        <v>573</v>
      </c>
      <c r="D13" s="14">
        <v>1488.0</v>
      </c>
      <c r="E13" s="16"/>
      <c r="F13" s="14">
        <f t="shared" si="1"/>
        <v>1488</v>
      </c>
      <c r="G13" s="19">
        <f t="shared" si="2"/>
        <v>18411</v>
      </c>
    </row>
    <row r="14">
      <c r="A14" s="12">
        <v>11.0</v>
      </c>
      <c r="B14" s="12" t="s">
        <v>25</v>
      </c>
      <c r="C14" s="13" t="s">
        <v>573</v>
      </c>
      <c r="D14" s="14">
        <v>1562.0</v>
      </c>
      <c r="E14" s="16"/>
      <c r="F14" s="14">
        <f t="shared" si="1"/>
        <v>1562</v>
      </c>
      <c r="G14" s="19">
        <f t="shared" si="2"/>
        <v>19973</v>
      </c>
    </row>
    <row r="15">
      <c r="A15" s="12">
        <v>12.0</v>
      </c>
      <c r="B15" s="12" t="s">
        <v>25</v>
      </c>
      <c r="C15" s="13" t="s">
        <v>573</v>
      </c>
      <c r="D15" s="14">
        <v>1640.0</v>
      </c>
      <c r="E15" s="16"/>
      <c r="F15" s="14">
        <f t="shared" si="1"/>
        <v>1640</v>
      </c>
      <c r="G15" s="19">
        <f t="shared" si="2"/>
        <v>21613</v>
      </c>
    </row>
    <row r="16">
      <c r="A16" s="12">
        <v>13.0</v>
      </c>
      <c r="B16" s="12" t="s">
        <v>22</v>
      </c>
      <c r="C16" s="13" t="s">
        <v>385</v>
      </c>
      <c r="D16" s="14">
        <v>2198.0</v>
      </c>
      <c r="E16" s="14">
        <v>2198.0</v>
      </c>
      <c r="F16" s="14">
        <f t="shared" si="1"/>
        <v>4396</v>
      </c>
      <c r="G16" s="19">
        <f t="shared" si="2"/>
        <v>26009</v>
      </c>
    </row>
    <row r="17">
      <c r="A17" s="12">
        <v>14.0</v>
      </c>
      <c r="B17" s="12" t="s">
        <v>419</v>
      </c>
      <c r="C17" s="13" t="s">
        <v>488</v>
      </c>
      <c r="D17" s="14">
        <v>6187.0</v>
      </c>
      <c r="E17" s="16"/>
      <c r="F17" s="14">
        <f t="shared" si="1"/>
        <v>6187</v>
      </c>
      <c r="G17" s="19">
        <f t="shared" si="2"/>
        <v>32196</v>
      </c>
    </row>
    <row r="18">
      <c r="A18" s="24"/>
      <c r="B18" s="24"/>
      <c r="C18" s="26"/>
      <c r="D18" s="27">
        <v>16.0</v>
      </c>
      <c r="E18" s="28"/>
      <c r="F18" s="27">
        <f>SUM(F4:F17)</f>
        <v>32196</v>
      </c>
      <c r="G18" s="29">
        <f>G17</f>
        <v>32196</v>
      </c>
    </row>
    <row r="19">
      <c r="C19" s="30"/>
      <c r="G19" s="30"/>
    </row>
    <row r="20">
      <c r="A20" s="4" t="s">
        <v>601</v>
      </c>
      <c r="B20" s="5"/>
      <c r="C20" s="5"/>
      <c r="D20" s="5"/>
      <c r="E20" s="5"/>
      <c r="F20" s="5"/>
      <c r="G20" s="6"/>
    </row>
    <row r="21">
      <c r="A21" s="7"/>
      <c r="B21" s="8"/>
      <c r="C21" s="8"/>
      <c r="D21" s="8"/>
      <c r="E21" s="8"/>
      <c r="F21" s="8"/>
      <c r="G21" s="9"/>
    </row>
    <row r="22">
      <c r="A22" s="10"/>
      <c r="B22" s="10" t="s">
        <v>6</v>
      </c>
      <c r="C22" s="11" t="s">
        <v>7</v>
      </c>
      <c r="D22" s="10" t="s">
        <v>8</v>
      </c>
      <c r="E22" s="10" t="s">
        <v>9</v>
      </c>
      <c r="F22" s="10" t="s">
        <v>10</v>
      </c>
      <c r="G22" s="11" t="s">
        <v>11</v>
      </c>
    </row>
    <row r="23">
      <c r="A23" s="12">
        <v>1.0</v>
      </c>
      <c r="B23" s="12" t="s">
        <v>47</v>
      </c>
      <c r="C23" s="13" t="s">
        <v>48</v>
      </c>
      <c r="D23" s="14">
        <v>1753.0</v>
      </c>
      <c r="E23" s="16"/>
      <c r="F23" s="14">
        <f t="shared" ref="F23:F40" si="3">SUM(D23:E23)</f>
        <v>1753</v>
      </c>
      <c r="G23" s="19">
        <f>F23</f>
        <v>1753</v>
      </c>
    </row>
    <row r="24">
      <c r="A24" s="12">
        <v>2.0</v>
      </c>
      <c r="B24" s="12" t="s">
        <v>47</v>
      </c>
      <c r="C24" s="13" t="s">
        <v>48</v>
      </c>
      <c r="D24" s="14">
        <v>1840.0</v>
      </c>
      <c r="E24" s="16"/>
      <c r="F24" s="14">
        <f t="shared" si="3"/>
        <v>1840</v>
      </c>
      <c r="G24" s="19">
        <f t="shared" ref="G24:G40" si="4">G23+F24</f>
        <v>3593</v>
      </c>
    </row>
    <row r="25">
      <c r="A25" s="12">
        <v>3.0</v>
      </c>
      <c r="B25" s="12" t="s">
        <v>47</v>
      </c>
      <c r="C25" s="13" t="s">
        <v>647</v>
      </c>
      <c r="D25" s="14">
        <v>1932.0</v>
      </c>
      <c r="E25" s="14">
        <v>1932.0</v>
      </c>
      <c r="F25" s="14">
        <f t="shared" si="3"/>
        <v>3864</v>
      </c>
      <c r="G25" s="19">
        <f t="shared" si="4"/>
        <v>7457</v>
      </c>
    </row>
    <row r="26">
      <c r="A26" s="12">
        <v>4.0</v>
      </c>
      <c r="B26" s="12" t="s">
        <v>43</v>
      </c>
      <c r="C26" s="13" t="s">
        <v>504</v>
      </c>
      <c r="D26" s="14">
        <v>1753.0</v>
      </c>
      <c r="E26" s="16"/>
      <c r="F26" s="14">
        <f t="shared" si="3"/>
        <v>1753</v>
      </c>
      <c r="G26" s="19">
        <f t="shared" si="4"/>
        <v>9210</v>
      </c>
    </row>
    <row r="27">
      <c r="A27" s="12">
        <v>5.0</v>
      </c>
      <c r="B27" s="12" t="s">
        <v>43</v>
      </c>
      <c r="C27" s="13" t="s">
        <v>649</v>
      </c>
      <c r="D27" s="14">
        <v>1840.0</v>
      </c>
      <c r="E27" s="16"/>
      <c r="F27" s="14">
        <f t="shared" si="3"/>
        <v>1840</v>
      </c>
      <c r="G27" s="19">
        <f t="shared" si="4"/>
        <v>11050</v>
      </c>
    </row>
    <row r="28">
      <c r="A28" s="12">
        <v>6.0</v>
      </c>
      <c r="B28" s="12" t="s">
        <v>43</v>
      </c>
      <c r="C28" s="13" t="s">
        <v>651</v>
      </c>
      <c r="D28" s="14">
        <v>1932.0</v>
      </c>
      <c r="E28" s="14">
        <v>1932.0</v>
      </c>
      <c r="F28" s="14">
        <f t="shared" si="3"/>
        <v>3864</v>
      </c>
      <c r="G28" s="19">
        <f t="shared" si="4"/>
        <v>14914</v>
      </c>
    </row>
    <row r="29">
      <c r="A29" s="12">
        <v>7.0</v>
      </c>
      <c r="B29" s="12" t="s">
        <v>45</v>
      </c>
      <c r="C29" s="13" t="s">
        <v>652</v>
      </c>
      <c r="D29" s="14">
        <v>2237.0</v>
      </c>
      <c r="E29" s="16"/>
      <c r="F29" s="14">
        <f t="shared" si="3"/>
        <v>2237</v>
      </c>
      <c r="G29" s="19">
        <f t="shared" si="4"/>
        <v>17151</v>
      </c>
    </row>
    <row r="30">
      <c r="A30" s="12">
        <v>8.0</v>
      </c>
      <c r="B30" s="12" t="s">
        <v>45</v>
      </c>
      <c r="C30" s="13" t="s">
        <v>652</v>
      </c>
      <c r="D30" s="14">
        <v>2349.0</v>
      </c>
      <c r="E30" s="16"/>
      <c r="F30" s="14">
        <f t="shared" si="3"/>
        <v>2349</v>
      </c>
      <c r="G30" s="19">
        <f t="shared" si="4"/>
        <v>19500</v>
      </c>
    </row>
    <row r="31">
      <c r="A31" s="12">
        <v>9.0</v>
      </c>
      <c r="B31" s="12" t="s">
        <v>45</v>
      </c>
      <c r="C31" s="13" t="s">
        <v>655</v>
      </c>
      <c r="D31" s="14">
        <v>2466.0</v>
      </c>
      <c r="E31" s="14">
        <v>2466.0</v>
      </c>
      <c r="F31" s="14">
        <f t="shared" si="3"/>
        <v>4932</v>
      </c>
      <c r="G31" s="19">
        <f t="shared" si="4"/>
        <v>24432</v>
      </c>
    </row>
    <row r="32">
      <c r="A32" s="12">
        <v>10.0</v>
      </c>
      <c r="B32" s="12" t="s">
        <v>45</v>
      </c>
      <c r="C32" s="13" t="s">
        <v>652</v>
      </c>
      <c r="D32" s="14">
        <v>2237.0</v>
      </c>
      <c r="E32" s="16"/>
      <c r="F32" s="14">
        <f t="shared" si="3"/>
        <v>2237</v>
      </c>
      <c r="G32" s="19">
        <f t="shared" si="4"/>
        <v>26669</v>
      </c>
    </row>
    <row r="33">
      <c r="A33" s="12">
        <v>11.0</v>
      </c>
      <c r="B33" s="12" t="s">
        <v>45</v>
      </c>
      <c r="C33" s="13" t="s">
        <v>652</v>
      </c>
      <c r="D33" s="14">
        <v>2349.0</v>
      </c>
      <c r="E33" s="16"/>
      <c r="F33" s="14">
        <f t="shared" si="3"/>
        <v>2349</v>
      </c>
      <c r="G33" s="19">
        <f t="shared" si="4"/>
        <v>29018</v>
      </c>
    </row>
    <row r="34">
      <c r="A34" s="12">
        <v>12.0</v>
      </c>
      <c r="B34" s="12" t="s">
        <v>51</v>
      </c>
      <c r="C34" s="13" t="s">
        <v>52</v>
      </c>
      <c r="D34" s="14">
        <v>1753.0</v>
      </c>
      <c r="E34" s="16"/>
      <c r="F34" s="14">
        <f t="shared" si="3"/>
        <v>1753</v>
      </c>
      <c r="G34" s="19">
        <f t="shared" si="4"/>
        <v>30771</v>
      </c>
    </row>
    <row r="35">
      <c r="A35" s="12">
        <v>13.0</v>
      </c>
      <c r="B35" s="12" t="s">
        <v>51</v>
      </c>
      <c r="C35" s="13" t="s">
        <v>52</v>
      </c>
      <c r="D35" s="14">
        <v>1840.0</v>
      </c>
      <c r="E35" s="16"/>
      <c r="F35" s="14">
        <f t="shared" si="3"/>
        <v>1840</v>
      </c>
      <c r="G35" s="19">
        <f t="shared" si="4"/>
        <v>32611</v>
      </c>
    </row>
    <row r="36">
      <c r="A36" s="12">
        <v>14.0</v>
      </c>
      <c r="B36" s="12" t="s">
        <v>51</v>
      </c>
      <c r="C36" s="13" t="s">
        <v>657</v>
      </c>
      <c r="D36" s="14">
        <v>1932.0</v>
      </c>
      <c r="E36" s="14">
        <v>1932.0</v>
      </c>
      <c r="F36" s="14">
        <f t="shared" si="3"/>
        <v>3864</v>
      </c>
      <c r="G36" s="19">
        <f t="shared" si="4"/>
        <v>36475</v>
      </c>
    </row>
    <row r="37">
      <c r="A37" s="12">
        <v>15.0</v>
      </c>
      <c r="B37" s="12" t="s">
        <v>40</v>
      </c>
      <c r="C37" s="13" t="s">
        <v>502</v>
      </c>
      <c r="D37" s="14">
        <v>1753.0</v>
      </c>
      <c r="E37" s="16"/>
      <c r="F37" s="14">
        <f t="shared" si="3"/>
        <v>1753</v>
      </c>
      <c r="G37" s="19">
        <f t="shared" si="4"/>
        <v>38228</v>
      </c>
    </row>
    <row r="38">
      <c r="A38" s="12">
        <v>16.0</v>
      </c>
      <c r="B38" s="12" t="s">
        <v>40</v>
      </c>
      <c r="C38" s="13" t="s">
        <v>658</v>
      </c>
      <c r="D38" s="14">
        <v>1840.0</v>
      </c>
      <c r="E38" s="16"/>
      <c r="F38" s="14">
        <f t="shared" si="3"/>
        <v>1840</v>
      </c>
      <c r="G38" s="19">
        <f t="shared" si="4"/>
        <v>40068</v>
      </c>
    </row>
    <row r="39">
      <c r="A39" s="12">
        <v>17.0</v>
      </c>
      <c r="B39" s="12" t="s">
        <v>40</v>
      </c>
      <c r="C39" s="13" t="s">
        <v>658</v>
      </c>
      <c r="D39" s="14">
        <v>1932.0</v>
      </c>
      <c r="E39" s="16"/>
      <c r="F39" s="14">
        <f t="shared" si="3"/>
        <v>1932</v>
      </c>
      <c r="G39" s="19">
        <f t="shared" si="4"/>
        <v>42000</v>
      </c>
    </row>
    <row r="40">
      <c r="A40" s="12">
        <v>18.0</v>
      </c>
      <c r="B40" s="12" t="s">
        <v>55</v>
      </c>
      <c r="C40" s="13" t="s">
        <v>56</v>
      </c>
      <c r="D40" s="14">
        <v>6295.0</v>
      </c>
      <c r="E40" s="16"/>
      <c r="F40" s="14">
        <f t="shared" si="3"/>
        <v>6295</v>
      </c>
      <c r="G40" s="19">
        <f t="shared" si="4"/>
        <v>48295</v>
      </c>
    </row>
    <row r="41">
      <c r="A41" s="24"/>
      <c r="B41" s="24"/>
      <c r="C41" s="26"/>
      <c r="D41" s="27">
        <v>22.0</v>
      </c>
      <c r="E41" s="28"/>
      <c r="F41" s="27">
        <f>SUM(F23:F40)</f>
        <v>48295</v>
      </c>
      <c r="G41" s="29">
        <f>G40</f>
        <v>48295</v>
      </c>
    </row>
    <row r="42">
      <c r="C42" s="30"/>
      <c r="G42" s="30"/>
    </row>
    <row r="43">
      <c r="A43" s="4" t="s">
        <v>625</v>
      </c>
      <c r="B43" s="5"/>
      <c r="C43" s="5"/>
      <c r="D43" s="5"/>
      <c r="E43" s="5"/>
      <c r="F43" s="5"/>
      <c r="G43" s="6"/>
    </row>
    <row r="44">
      <c r="A44" s="7"/>
      <c r="B44" s="8"/>
      <c r="C44" s="8"/>
      <c r="D44" s="8"/>
      <c r="E44" s="8"/>
      <c r="F44" s="8"/>
      <c r="G44" s="9"/>
    </row>
    <row r="45">
      <c r="A45" s="10"/>
      <c r="B45" s="10" t="s">
        <v>6</v>
      </c>
      <c r="C45" s="11" t="s">
        <v>7</v>
      </c>
      <c r="D45" s="10" t="s">
        <v>8</v>
      </c>
      <c r="E45" s="10" t="s">
        <v>9</v>
      </c>
      <c r="F45" s="10" t="s">
        <v>10</v>
      </c>
      <c r="G45" s="11" t="s">
        <v>11</v>
      </c>
    </row>
    <row r="46">
      <c r="A46" s="12">
        <v>1.0</v>
      </c>
      <c r="B46" s="12" t="s">
        <v>72</v>
      </c>
      <c r="C46" s="13" t="s">
        <v>532</v>
      </c>
      <c r="D46" s="14">
        <v>1969.0</v>
      </c>
      <c r="E46" s="16"/>
      <c r="F46" s="14">
        <f t="shared" ref="F46:F70" si="5">SUM(D46:E46)</f>
        <v>1969</v>
      </c>
      <c r="G46" s="19">
        <f>F46</f>
        <v>1969</v>
      </c>
    </row>
    <row r="47">
      <c r="A47" s="12">
        <v>2.0</v>
      </c>
      <c r="B47" s="12" t="s">
        <v>72</v>
      </c>
      <c r="C47" s="13" t="s">
        <v>532</v>
      </c>
      <c r="D47" s="14">
        <v>2067.0</v>
      </c>
      <c r="E47" s="16"/>
      <c r="F47" s="14">
        <f t="shared" si="5"/>
        <v>2067</v>
      </c>
      <c r="G47" s="19">
        <f t="shared" ref="G47:G70" si="6">G46+F47</f>
        <v>4036</v>
      </c>
    </row>
    <row r="48">
      <c r="A48" s="12">
        <v>3.0</v>
      </c>
      <c r="B48" s="12" t="s">
        <v>72</v>
      </c>
      <c r="C48" s="13" t="s">
        <v>532</v>
      </c>
      <c r="D48" s="14">
        <v>2171.0</v>
      </c>
      <c r="E48" s="16"/>
      <c r="F48" s="14">
        <f t="shared" si="5"/>
        <v>2171</v>
      </c>
      <c r="G48" s="19">
        <f t="shared" si="6"/>
        <v>6207</v>
      </c>
    </row>
    <row r="49">
      <c r="A49" s="12">
        <v>4.0</v>
      </c>
      <c r="B49" s="12" t="s">
        <v>72</v>
      </c>
      <c r="C49" s="13" t="s">
        <v>532</v>
      </c>
      <c r="D49" s="14">
        <v>2279.0</v>
      </c>
      <c r="E49" s="16"/>
      <c r="F49" s="14">
        <f t="shared" si="5"/>
        <v>2279</v>
      </c>
      <c r="G49" s="19">
        <f t="shared" si="6"/>
        <v>8486</v>
      </c>
    </row>
    <row r="50">
      <c r="A50" s="12">
        <v>5.0</v>
      </c>
      <c r="B50" s="12" t="s">
        <v>60</v>
      </c>
      <c r="C50" s="13" t="s">
        <v>61</v>
      </c>
      <c r="D50" s="14">
        <v>2393.0</v>
      </c>
      <c r="E50" s="16"/>
      <c r="F50" s="14">
        <f t="shared" si="5"/>
        <v>2393</v>
      </c>
      <c r="G50" s="19">
        <f t="shared" si="6"/>
        <v>10879</v>
      </c>
    </row>
    <row r="51">
      <c r="A51" s="12">
        <v>6.0</v>
      </c>
      <c r="B51" s="12" t="s">
        <v>60</v>
      </c>
      <c r="C51" s="13" t="s">
        <v>520</v>
      </c>
      <c r="D51" s="14">
        <v>2513.0</v>
      </c>
      <c r="E51" s="16"/>
      <c r="F51" s="14">
        <f t="shared" si="5"/>
        <v>2513</v>
      </c>
      <c r="G51" s="19">
        <f t="shared" si="6"/>
        <v>13392</v>
      </c>
    </row>
    <row r="52">
      <c r="A52" s="12">
        <v>7.0</v>
      </c>
      <c r="B52" s="12" t="s">
        <v>60</v>
      </c>
      <c r="C52" s="13" t="s">
        <v>61</v>
      </c>
      <c r="D52" s="14">
        <v>2513.0</v>
      </c>
      <c r="E52" s="16"/>
      <c r="F52" s="14">
        <f t="shared" si="5"/>
        <v>2513</v>
      </c>
      <c r="G52" s="19">
        <f t="shared" si="6"/>
        <v>15905</v>
      </c>
    </row>
    <row r="53">
      <c r="A53" s="12">
        <v>8.0</v>
      </c>
      <c r="B53" s="12" t="s">
        <v>70</v>
      </c>
      <c r="C53" s="13" t="s">
        <v>401</v>
      </c>
      <c r="D53" s="14">
        <v>3367.0</v>
      </c>
      <c r="E53" s="14">
        <v>3367.0</v>
      </c>
      <c r="F53" s="14">
        <f t="shared" si="5"/>
        <v>6734</v>
      </c>
      <c r="G53" s="19">
        <f t="shared" si="6"/>
        <v>22639</v>
      </c>
    </row>
    <row r="54">
      <c r="A54" s="12">
        <v>9.0</v>
      </c>
      <c r="B54" s="12" t="s">
        <v>64</v>
      </c>
      <c r="C54" s="13" t="s">
        <v>548</v>
      </c>
      <c r="D54" s="14">
        <v>2770.0</v>
      </c>
      <c r="E54" s="16"/>
      <c r="F54" s="14">
        <f t="shared" si="5"/>
        <v>2770</v>
      </c>
      <c r="G54" s="19">
        <f t="shared" si="6"/>
        <v>25409</v>
      </c>
    </row>
    <row r="55">
      <c r="A55" s="12">
        <v>10.0</v>
      </c>
      <c r="B55" s="12" t="s">
        <v>64</v>
      </c>
      <c r="C55" s="13" t="s">
        <v>548</v>
      </c>
      <c r="D55" s="14">
        <v>2770.0</v>
      </c>
      <c r="E55" s="16"/>
      <c r="F55" s="14">
        <f t="shared" si="5"/>
        <v>2770</v>
      </c>
      <c r="G55" s="19">
        <f t="shared" si="6"/>
        <v>28179</v>
      </c>
    </row>
    <row r="56">
      <c r="A56" s="12">
        <v>11.0</v>
      </c>
      <c r="B56" s="12" t="s">
        <v>79</v>
      </c>
      <c r="C56" s="13" t="s">
        <v>539</v>
      </c>
      <c r="D56" s="14">
        <v>1969.0</v>
      </c>
      <c r="E56" s="16"/>
      <c r="F56" s="14">
        <f t="shared" si="5"/>
        <v>1969</v>
      </c>
      <c r="G56" s="19">
        <f t="shared" si="6"/>
        <v>30148</v>
      </c>
    </row>
    <row r="57">
      <c r="A57" s="12">
        <v>12.0</v>
      </c>
      <c r="B57" s="12" t="s">
        <v>79</v>
      </c>
      <c r="C57" s="13" t="s">
        <v>539</v>
      </c>
      <c r="D57" s="14">
        <v>2067.0</v>
      </c>
      <c r="E57" s="16"/>
      <c r="F57" s="14">
        <f t="shared" si="5"/>
        <v>2067</v>
      </c>
      <c r="G57" s="19">
        <f t="shared" si="6"/>
        <v>32215</v>
      </c>
    </row>
    <row r="58">
      <c r="A58" s="12">
        <v>13.0</v>
      </c>
      <c r="B58" s="12" t="s">
        <v>79</v>
      </c>
      <c r="C58" s="13" t="s">
        <v>539</v>
      </c>
      <c r="D58" s="14">
        <v>2171.0</v>
      </c>
      <c r="E58" s="16"/>
      <c r="F58" s="14">
        <f t="shared" si="5"/>
        <v>2171</v>
      </c>
      <c r="G58" s="19">
        <f t="shared" si="6"/>
        <v>34386</v>
      </c>
    </row>
    <row r="59">
      <c r="A59" s="12">
        <v>14.0</v>
      </c>
      <c r="B59" s="12" t="s">
        <v>79</v>
      </c>
      <c r="C59" s="13" t="s">
        <v>539</v>
      </c>
      <c r="D59" s="14">
        <v>2279.0</v>
      </c>
      <c r="E59" s="16"/>
      <c r="F59" s="14">
        <f t="shared" si="5"/>
        <v>2279</v>
      </c>
      <c r="G59" s="19">
        <f t="shared" si="6"/>
        <v>36665</v>
      </c>
    </row>
    <row r="60">
      <c r="A60" s="12">
        <v>15.0</v>
      </c>
      <c r="B60" s="12" t="s">
        <v>83</v>
      </c>
      <c r="C60" s="13" t="s">
        <v>541</v>
      </c>
      <c r="D60" s="14">
        <v>3054.0</v>
      </c>
      <c r="E60" s="16"/>
      <c r="F60" s="14">
        <f t="shared" si="5"/>
        <v>3054</v>
      </c>
      <c r="G60" s="19">
        <f t="shared" si="6"/>
        <v>39719</v>
      </c>
    </row>
    <row r="61">
      <c r="A61" s="12">
        <v>16.0</v>
      </c>
      <c r="B61" s="12" t="s">
        <v>60</v>
      </c>
      <c r="C61" s="13" t="s">
        <v>61</v>
      </c>
      <c r="D61" s="14">
        <v>2513.0</v>
      </c>
      <c r="E61" s="16"/>
      <c r="F61" s="14">
        <f t="shared" si="5"/>
        <v>2513</v>
      </c>
      <c r="G61" s="19">
        <f t="shared" si="6"/>
        <v>42232</v>
      </c>
    </row>
    <row r="62">
      <c r="A62" s="12">
        <v>17.0</v>
      </c>
      <c r="B62" s="12" t="s">
        <v>83</v>
      </c>
      <c r="C62" s="13" t="s">
        <v>398</v>
      </c>
      <c r="D62" s="14">
        <v>3054.0</v>
      </c>
      <c r="E62" s="14">
        <v>3054.0</v>
      </c>
      <c r="F62" s="14">
        <f t="shared" si="5"/>
        <v>6108</v>
      </c>
      <c r="G62" s="19">
        <f t="shared" si="6"/>
        <v>48340</v>
      </c>
    </row>
    <row r="63">
      <c r="A63" s="12">
        <v>18.0</v>
      </c>
      <c r="B63" s="12" t="s">
        <v>67</v>
      </c>
      <c r="C63" s="13" t="s">
        <v>68</v>
      </c>
      <c r="D63" s="14">
        <v>2393.0</v>
      </c>
      <c r="E63" s="16"/>
      <c r="F63" s="14">
        <f t="shared" si="5"/>
        <v>2393</v>
      </c>
      <c r="G63" s="19">
        <f t="shared" si="6"/>
        <v>50733</v>
      </c>
    </row>
    <row r="64">
      <c r="A64" s="12">
        <v>19.0</v>
      </c>
      <c r="B64" s="12" t="s">
        <v>67</v>
      </c>
      <c r="C64" s="13" t="s">
        <v>68</v>
      </c>
      <c r="D64" s="14">
        <v>2513.0</v>
      </c>
      <c r="E64" s="16"/>
      <c r="F64" s="14">
        <f t="shared" si="5"/>
        <v>2513</v>
      </c>
      <c r="G64" s="19">
        <f t="shared" si="6"/>
        <v>53246</v>
      </c>
    </row>
    <row r="65">
      <c r="A65" s="12">
        <v>20.0</v>
      </c>
      <c r="B65" s="12" t="s">
        <v>67</v>
      </c>
      <c r="C65" s="13" t="s">
        <v>68</v>
      </c>
      <c r="D65" s="14">
        <v>2513.0</v>
      </c>
      <c r="E65" s="16"/>
      <c r="F65" s="14">
        <f t="shared" si="5"/>
        <v>2513</v>
      </c>
      <c r="G65" s="19">
        <f t="shared" si="6"/>
        <v>55759</v>
      </c>
    </row>
    <row r="66">
      <c r="A66" s="12">
        <v>21.0</v>
      </c>
      <c r="B66" s="12" t="s">
        <v>67</v>
      </c>
      <c r="C66" s="13" t="s">
        <v>526</v>
      </c>
      <c r="D66" s="14">
        <v>2513.0</v>
      </c>
      <c r="E66" s="16"/>
      <c r="F66" s="14">
        <f t="shared" si="5"/>
        <v>2513</v>
      </c>
      <c r="G66" s="19">
        <f t="shared" si="6"/>
        <v>58272</v>
      </c>
    </row>
    <row r="67">
      <c r="A67" s="12">
        <v>22.0</v>
      </c>
      <c r="B67" s="12" t="s">
        <v>70</v>
      </c>
      <c r="C67" s="13" t="s">
        <v>401</v>
      </c>
      <c r="D67" s="14">
        <v>3367.0</v>
      </c>
      <c r="E67" s="14">
        <v>3367.0</v>
      </c>
      <c r="F67" s="14">
        <f t="shared" si="5"/>
        <v>6734</v>
      </c>
      <c r="G67" s="19">
        <f t="shared" si="6"/>
        <v>65006</v>
      </c>
    </row>
    <row r="68">
      <c r="A68" s="12">
        <v>23.0</v>
      </c>
      <c r="B68" s="12" t="s">
        <v>75</v>
      </c>
      <c r="C68" s="13" t="s">
        <v>557</v>
      </c>
      <c r="D68" s="14">
        <v>2770.0</v>
      </c>
      <c r="E68" s="16"/>
      <c r="F68" s="14">
        <f t="shared" si="5"/>
        <v>2770</v>
      </c>
      <c r="G68" s="19">
        <f t="shared" si="6"/>
        <v>67776</v>
      </c>
    </row>
    <row r="69">
      <c r="A69" s="12">
        <v>24.0</v>
      </c>
      <c r="B69" s="12" t="s">
        <v>75</v>
      </c>
      <c r="C69" s="13" t="s">
        <v>557</v>
      </c>
      <c r="D69" s="14">
        <v>2770.0</v>
      </c>
      <c r="E69" s="16"/>
      <c r="F69" s="14">
        <f t="shared" si="5"/>
        <v>2770</v>
      </c>
      <c r="G69" s="19">
        <f t="shared" si="6"/>
        <v>70546</v>
      </c>
    </row>
    <row r="70">
      <c r="A70" s="12">
        <v>25.0</v>
      </c>
      <c r="B70" s="12" t="s">
        <v>516</v>
      </c>
      <c r="C70" s="13" t="s">
        <v>577</v>
      </c>
      <c r="D70" s="14">
        <v>9950.0</v>
      </c>
      <c r="E70" s="16"/>
      <c r="F70" s="14">
        <f t="shared" si="5"/>
        <v>9950</v>
      </c>
      <c r="G70" s="19">
        <f t="shared" si="6"/>
        <v>80496</v>
      </c>
    </row>
    <row r="71">
      <c r="A71" s="24"/>
      <c r="B71" s="24"/>
      <c r="C71" s="26"/>
      <c r="D71" s="27">
        <v>28.0</v>
      </c>
      <c r="E71" s="28"/>
      <c r="F71" s="27">
        <f>SUM(F46:F70)</f>
        <v>80496</v>
      </c>
      <c r="G71" s="29">
        <f>G70</f>
        <v>80496</v>
      </c>
    </row>
    <row r="72">
      <c r="C72" s="30"/>
      <c r="G72" s="30"/>
    </row>
    <row r="73">
      <c r="A73" s="4" t="s">
        <v>645</v>
      </c>
      <c r="B73" s="5"/>
      <c r="C73" s="5"/>
      <c r="D73" s="5"/>
      <c r="E73" s="5"/>
      <c r="F73" s="5"/>
      <c r="G73" s="6"/>
    </row>
    <row r="74">
      <c r="A74" s="7"/>
      <c r="B74" s="8"/>
      <c r="C74" s="8"/>
      <c r="D74" s="8"/>
      <c r="E74" s="8"/>
      <c r="F74" s="8"/>
      <c r="G74" s="9"/>
    </row>
    <row r="75">
      <c r="A75" s="10"/>
      <c r="B75" s="10" t="s">
        <v>6</v>
      </c>
      <c r="C75" s="11" t="s">
        <v>7</v>
      </c>
      <c r="D75" s="10" t="s">
        <v>8</v>
      </c>
      <c r="E75" s="10" t="s">
        <v>9</v>
      </c>
      <c r="F75" s="10" t="s">
        <v>10</v>
      </c>
      <c r="G75" s="11" t="s">
        <v>11</v>
      </c>
    </row>
    <row r="76">
      <c r="A76" s="12">
        <v>1.0</v>
      </c>
      <c r="B76" s="12" t="s">
        <v>93</v>
      </c>
      <c r="C76" s="13" t="s">
        <v>94</v>
      </c>
      <c r="D76" s="14">
        <v>5026.0</v>
      </c>
      <c r="E76" s="16"/>
      <c r="F76" s="14">
        <f t="shared" ref="F76:F97" si="7">SUM(D76:E76)</f>
        <v>5026</v>
      </c>
      <c r="G76" s="19">
        <f>F76</f>
        <v>5026</v>
      </c>
    </row>
    <row r="77">
      <c r="A77" s="12">
        <v>2.0</v>
      </c>
      <c r="B77" s="12" t="s">
        <v>47</v>
      </c>
      <c r="C77" s="13" t="s">
        <v>507</v>
      </c>
      <c r="D77" s="14">
        <v>5278.0</v>
      </c>
      <c r="E77" s="16"/>
      <c r="F77" s="14">
        <f t="shared" si="7"/>
        <v>5278</v>
      </c>
      <c r="G77" s="19">
        <f t="shared" ref="G77:G97" si="8">G76+F77</f>
        <v>10304</v>
      </c>
    </row>
    <row r="78">
      <c r="A78" s="12">
        <v>3.0</v>
      </c>
      <c r="B78" s="12" t="s">
        <v>47</v>
      </c>
      <c r="C78" s="13" t="s">
        <v>507</v>
      </c>
      <c r="D78" s="14">
        <v>5542.0</v>
      </c>
      <c r="E78" s="16"/>
      <c r="F78" s="14">
        <f t="shared" si="7"/>
        <v>5542</v>
      </c>
      <c r="G78" s="19">
        <f t="shared" si="8"/>
        <v>15846</v>
      </c>
    </row>
    <row r="79">
      <c r="A79" s="12">
        <v>4.0</v>
      </c>
      <c r="B79" s="12" t="s">
        <v>93</v>
      </c>
      <c r="C79" s="13" t="s">
        <v>544</v>
      </c>
      <c r="D79" s="14">
        <v>5026.0</v>
      </c>
      <c r="E79" s="16"/>
      <c r="F79" s="14">
        <f t="shared" si="7"/>
        <v>5026</v>
      </c>
      <c r="G79" s="19">
        <f t="shared" si="8"/>
        <v>20872</v>
      </c>
    </row>
    <row r="80">
      <c r="A80" s="12">
        <v>5.0</v>
      </c>
      <c r="B80" s="12" t="s">
        <v>93</v>
      </c>
      <c r="C80" s="13" t="s">
        <v>544</v>
      </c>
      <c r="D80" s="14">
        <v>5278.0</v>
      </c>
      <c r="E80" s="16"/>
      <c r="F80" s="14">
        <f t="shared" si="7"/>
        <v>5278</v>
      </c>
      <c r="G80" s="19">
        <f t="shared" si="8"/>
        <v>26150</v>
      </c>
    </row>
    <row r="81">
      <c r="A81" s="12">
        <v>6.0</v>
      </c>
      <c r="B81" s="12" t="s">
        <v>93</v>
      </c>
      <c r="C81" s="13" t="s">
        <v>544</v>
      </c>
      <c r="D81" s="14">
        <v>5542.0</v>
      </c>
      <c r="E81" s="16"/>
      <c r="F81" s="14">
        <f t="shared" si="7"/>
        <v>5542</v>
      </c>
      <c r="G81" s="19">
        <f t="shared" si="8"/>
        <v>31692</v>
      </c>
    </row>
    <row r="82">
      <c r="A82" s="12">
        <v>7.0</v>
      </c>
      <c r="B82" s="12" t="s">
        <v>104</v>
      </c>
      <c r="C82" s="13" t="s">
        <v>105</v>
      </c>
      <c r="D82" s="14">
        <v>5819.0</v>
      </c>
      <c r="E82" s="16"/>
      <c r="F82" s="14">
        <f t="shared" si="7"/>
        <v>5819</v>
      </c>
      <c r="G82" s="19">
        <f t="shared" si="8"/>
        <v>37511</v>
      </c>
    </row>
    <row r="83">
      <c r="A83" s="12">
        <v>8.0</v>
      </c>
      <c r="B83" s="12" t="s">
        <v>104</v>
      </c>
      <c r="C83" s="13" t="s">
        <v>554</v>
      </c>
      <c r="D83" s="14">
        <v>6110.0</v>
      </c>
      <c r="E83" s="16"/>
      <c r="F83" s="14">
        <f t="shared" si="7"/>
        <v>6110</v>
      </c>
      <c r="G83" s="19">
        <f t="shared" si="8"/>
        <v>43621</v>
      </c>
    </row>
    <row r="84">
      <c r="A84" s="12">
        <v>9.0</v>
      </c>
      <c r="B84" s="12" t="s">
        <v>104</v>
      </c>
      <c r="C84" s="13" t="s">
        <v>554</v>
      </c>
      <c r="D84" s="14">
        <v>6415.0</v>
      </c>
      <c r="E84" s="16"/>
      <c r="F84" s="14">
        <f t="shared" si="7"/>
        <v>6415</v>
      </c>
      <c r="G84" s="19">
        <f t="shared" si="8"/>
        <v>50036</v>
      </c>
    </row>
    <row r="85">
      <c r="A85" s="12">
        <v>10.0</v>
      </c>
      <c r="B85" s="12" t="s">
        <v>104</v>
      </c>
      <c r="C85" s="13" t="s">
        <v>554</v>
      </c>
      <c r="D85" s="14">
        <v>6736.0</v>
      </c>
      <c r="E85" s="16"/>
      <c r="F85" s="14">
        <f t="shared" si="7"/>
        <v>6736</v>
      </c>
      <c r="G85" s="19">
        <f t="shared" si="8"/>
        <v>56772</v>
      </c>
    </row>
    <row r="86">
      <c r="A86" s="12">
        <v>11.0</v>
      </c>
      <c r="B86" s="12" t="s">
        <v>99</v>
      </c>
      <c r="C86" s="13" t="s">
        <v>550</v>
      </c>
      <c r="D86" s="14">
        <v>5026.0</v>
      </c>
      <c r="E86" s="16"/>
      <c r="F86" s="14">
        <f t="shared" si="7"/>
        <v>5026</v>
      </c>
      <c r="G86" s="19">
        <f t="shared" si="8"/>
        <v>61798</v>
      </c>
    </row>
    <row r="87">
      <c r="A87" s="12">
        <v>12.0</v>
      </c>
      <c r="B87" s="12" t="s">
        <v>99</v>
      </c>
      <c r="C87" s="13" t="s">
        <v>550</v>
      </c>
      <c r="D87" s="14">
        <v>5278.0</v>
      </c>
      <c r="E87" s="16"/>
      <c r="F87" s="14">
        <f t="shared" si="7"/>
        <v>5278</v>
      </c>
      <c r="G87" s="19">
        <f t="shared" si="8"/>
        <v>67076</v>
      </c>
    </row>
    <row r="88">
      <c r="A88" s="12">
        <v>13.0</v>
      </c>
      <c r="B88" s="12" t="s">
        <v>99</v>
      </c>
      <c r="C88" s="13" t="s">
        <v>550</v>
      </c>
      <c r="D88" s="14">
        <v>5542.0</v>
      </c>
      <c r="E88" s="16"/>
      <c r="F88" s="14">
        <f t="shared" si="7"/>
        <v>5542</v>
      </c>
      <c r="G88" s="19">
        <f t="shared" si="8"/>
        <v>72618</v>
      </c>
    </row>
    <row r="89">
      <c r="A89" s="12">
        <v>14.0</v>
      </c>
      <c r="B89" s="12" t="s">
        <v>106</v>
      </c>
      <c r="C89" s="13" t="s">
        <v>559</v>
      </c>
      <c r="D89" s="14">
        <v>5819.0</v>
      </c>
      <c r="E89" s="16"/>
      <c r="F89" s="14">
        <f t="shared" si="7"/>
        <v>5819</v>
      </c>
      <c r="G89" s="19">
        <f t="shared" si="8"/>
        <v>78437</v>
      </c>
    </row>
    <row r="90">
      <c r="A90" s="12">
        <v>15.0</v>
      </c>
      <c r="B90" s="12" t="s">
        <v>106</v>
      </c>
      <c r="C90" s="13" t="s">
        <v>107</v>
      </c>
      <c r="D90" s="14">
        <v>6110.0</v>
      </c>
      <c r="E90" s="16"/>
      <c r="F90" s="14">
        <f t="shared" si="7"/>
        <v>6110</v>
      </c>
      <c r="G90" s="19">
        <f t="shared" si="8"/>
        <v>84547</v>
      </c>
    </row>
    <row r="91">
      <c r="A91" s="12">
        <v>16.0</v>
      </c>
      <c r="B91" s="12" t="s">
        <v>106</v>
      </c>
      <c r="C91" s="13" t="s">
        <v>559</v>
      </c>
      <c r="D91" s="14">
        <v>6415.0</v>
      </c>
      <c r="E91" s="16"/>
      <c r="F91" s="14">
        <f t="shared" si="7"/>
        <v>6415</v>
      </c>
      <c r="G91" s="19">
        <f t="shared" si="8"/>
        <v>90962</v>
      </c>
    </row>
    <row r="92">
      <c r="A92" s="12">
        <v>17.0</v>
      </c>
      <c r="B92" s="12" t="s">
        <v>106</v>
      </c>
      <c r="C92" s="13" t="s">
        <v>559</v>
      </c>
      <c r="D92" s="14">
        <v>6736.0</v>
      </c>
      <c r="E92" s="16"/>
      <c r="F92" s="14">
        <f t="shared" si="7"/>
        <v>6736</v>
      </c>
      <c r="G92" s="19">
        <f t="shared" si="8"/>
        <v>97698</v>
      </c>
    </row>
    <row r="93">
      <c r="A93" s="12">
        <v>18.0</v>
      </c>
      <c r="B93" s="12" t="s">
        <v>22</v>
      </c>
      <c r="C93" s="13" t="s">
        <v>407</v>
      </c>
      <c r="D93" s="14">
        <v>9027.0</v>
      </c>
      <c r="E93" s="14">
        <v>9027.0</v>
      </c>
      <c r="F93" s="14">
        <f t="shared" si="7"/>
        <v>18054</v>
      </c>
      <c r="G93" s="19">
        <f t="shared" si="8"/>
        <v>115752</v>
      </c>
    </row>
    <row r="94">
      <c r="A94" s="12">
        <v>19.0</v>
      </c>
      <c r="B94" s="12" t="s">
        <v>294</v>
      </c>
      <c r="C94" s="13" t="s">
        <v>676</v>
      </c>
      <c r="D94" s="14">
        <v>29407.0</v>
      </c>
      <c r="E94" s="16"/>
      <c r="F94" s="14">
        <f t="shared" si="7"/>
        <v>29407</v>
      </c>
      <c r="G94" s="19">
        <f t="shared" si="8"/>
        <v>145159</v>
      </c>
    </row>
    <row r="95">
      <c r="A95" s="12">
        <v>20.0</v>
      </c>
      <c r="B95" s="12" t="s">
        <v>99</v>
      </c>
      <c r="C95" s="13" t="s">
        <v>100</v>
      </c>
      <c r="D95" s="14">
        <v>5026.0</v>
      </c>
      <c r="E95" s="16"/>
      <c r="F95" s="14">
        <f t="shared" si="7"/>
        <v>5026</v>
      </c>
      <c r="G95" s="19">
        <f t="shared" si="8"/>
        <v>150185</v>
      </c>
    </row>
    <row r="96">
      <c r="A96" s="12">
        <v>21.0</v>
      </c>
      <c r="B96" s="12" t="s">
        <v>51</v>
      </c>
      <c r="C96" s="13" t="s">
        <v>509</v>
      </c>
      <c r="D96" s="14">
        <v>5278.0</v>
      </c>
      <c r="E96" s="16"/>
      <c r="F96" s="14">
        <f t="shared" si="7"/>
        <v>5278</v>
      </c>
      <c r="G96" s="19">
        <f t="shared" si="8"/>
        <v>155463</v>
      </c>
    </row>
    <row r="97">
      <c r="A97" s="12">
        <v>22.0</v>
      </c>
      <c r="B97" s="12" t="s">
        <v>51</v>
      </c>
      <c r="C97" s="13" t="s">
        <v>509</v>
      </c>
      <c r="D97" s="14">
        <v>5542.0</v>
      </c>
      <c r="E97" s="16"/>
      <c r="F97" s="14">
        <f t="shared" si="7"/>
        <v>5542</v>
      </c>
      <c r="G97" s="19">
        <f t="shared" si="8"/>
        <v>161005</v>
      </c>
    </row>
    <row r="98">
      <c r="A98" s="24"/>
      <c r="B98" s="24"/>
      <c r="C98" s="26"/>
      <c r="D98" s="27">
        <v>23.0</v>
      </c>
      <c r="E98" s="28"/>
      <c r="F98" s="27">
        <f>SUM(F76:F97)</f>
        <v>161005</v>
      </c>
      <c r="G98" s="29">
        <f>G97</f>
        <v>161005</v>
      </c>
    </row>
  </sheetData>
  <mergeCells count="4">
    <mergeCell ref="A1:G2"/>
    <mergeCell ref="A20:G21"/>
    <mergeCell ref="A43:G44"/>
    <mergeCell ref="A73:G74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8.57"/>
    <col customWidth="1" min="3" max="3" width="62.71"/>
    <col customWidth="1" min="4" max="5" width="7.14"/>
    <col customWidth="1" min="6" max="6" width="8.0"/>
    <col customWidth="1" min="7" max="7" width="8.57"/>
  </cols>
  <sheetData>
    <row r="1">
      <c r="A1" s="4" t="s">
        <v>292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144</v>
      </c>
      <c r="C4" s="13" t="s">
        <v>672</v>
      </c>
      <c r="D4" s="14">
        <v>1580.0</v>
      </c>
      <c r="E4" s="16"/>
      <c r="F4" s="14">
        <f t="shared" ref="F4:F19" si="1">SUM(D4:E4)</f>
        <v>1580</v>
      </c>
      <c r="G4" s="19">
        <f>F4</f>
        <v>1580</v>
      </c>
    </row>
    <row r="5">
      <c r="A5" s="12">
        <v>2.0</v>
      </c>
      <c r="B5" s="12" t="s">
        <v>12</v>
      </c>
      <c r="C5" s="13" t="s">
        <v>535</v>
      </c>
      <c r="D5" s="14">
        <v>1299.0</v>
      </c>
      <c r="E5" s="16"/>
      <c r="F5" s="14">
        <f t="shared" si="1"/>
        <v>1299</v>
      </c>
      <c r="G5" s="19">
        <f t="shared" ref="G5:G19" si="2">G4+F5</f>
        <v>2879</v>
      </c>
    </row>
    <row r="6">
      <c r="A6" s="12">
        <v>3.0</v>
      </c>
      <c r="B6" s="12" t="s">
        <v>12</v>
      </c>
      <c r="C6" s="13" t="s">
        <v>535</v>
      </c>
      <c r="D6" s="14">
        <v>1364.0</v>
      </c>
      <c r="E6" s="16"/>
      <c r="F6" s="14">
        <f t="shared" si="1"/>
        <v>1364</v>
      </c>
      <c r="G6" s="19">
        <f t="shared" si="2"/>
        <v>4243</v>
      </c>
    </row>
    <row r="7">
      <c r="A7" s="12">
        <v>4.0</v>
      </c>
      <c r="B7" s="12" t="s">
        <v>22</v>
      </c>
      <c r="C7" s="13" t="s">
        <v>350</v>
      </c>
      <c r="D7" s="14">
        <v>1829.0</v>
      </c>
      <c r="E7" s="14">
        <v>1829.0</v>
      </c>
      <c r="F7" s="14">
        <f t="shared" si="1"/>
        <v>3658</v>
      </c>
      <c r="G7" s="19">
        <f t="shared" si="2"/>
        <v>7901</v>
      </c>
    </row>
    <row r="8">
      <c r="A8" s="12">
        <v>5.0</v>
      </c>
      <c r="B8" s="12" t="s">
        <v>12</v>
      </c>
      <c r="C8" s="13" t="s">
        <v>535</v>
      </c>
      <c r="D8" s="14">
        <v>1433.0</v>
      </c>
      <c r="E8" s="16"/>
      <c r="F8" s="14">
        <f t="shared" si="1"/>
        <v>1433</v>
      </c>
      <c r="G8" s="19">
        <f t="shared" si="2"/>
        <v>9334</v>
      </c>
    </row>
    <row r="9">
      <c r="A9" s="12">
        <v>6.0</v>
      </c>
      <c r="B9" s="12" t="s">
        <v>12</v>
      </c>
      <c r="C9" s="13" t="s">
        <v>535</v>
      </c>
      <c r="D9" s="14">
        <v>1504.0</v>
      </c>
      <c r="E9" s="16"/>
      <c r="F9" s="14">
        <f t="shared" si="1"/>
        <v>1504</v>
      </c>
      <c r="G9" s="19">
        <f t="shared" si="2"/>
        <v>10838</v>
      </c>
    </row>
    <row r="10">
      <c r="A10" s="12">
        <v>7.0</v>
      </c>
      <c r="B10" s="12" t="s">
        <v>12</v>
      </c>
      <c r="C10" s="13" t="s">
        <v>535</v>
      </c>
      <c r="D10" s="14">
        <v>1580.0</v>
      </c>
      <c r="E10" s="16"/>
      <c r="F10" s="14">
        <f t="shared" si="1"/>
        <v>1580</v>
      </c>
      <c r="G10" s="19">
        <f t="shared" si="2"/>
        <v>12418</v>
      </c>
    </row>
    <row r="11">
      <c r="A11" s="12">
        <v>8.0</v>
      </c>
      <c r="B11" s="12" t="s">
        <v>25</v>
      </c>
      <c r="C11" s="13" t="s">
        <v>543</v>
      </c>
      <c r="D11" s="14">
        <v>1299.0</v>
      </c>
      <c r="E11" s="16"/>
      <c r="F11" s="14">
        <f t="shared" si="1"/>
        <v>1299</v>
      </c>
      <c r="G11" s="19">
        <f t="shared" si="2"/>
        <v>13717</v>
      </c>
    </row>
    <row r="12">
      <c r="A12" s="12">
        <v>9.0</v>
      </c>
      <c r="B12" s="12" t="s">
        <v>22</v>
      </c>
      <c r="C12" s="13" t="s">
        <v>350</v>
      </c>
      <c r="D12" s="14">
        <v>1741.0</v>
      </c>
      <c r="E12" s="14">
        <v>1741.0</v>
      </c>
      <c r="F12" s="14">
        <f t="shared" si="1"/>
        <v>3482</v>
      </c>
      <c r="G12" s="19">
        <f t="shared" si="2"/>
        <v>17199</v>
      </c>
    </row>
    <row r="13">
      <c r="A13" s="12">
        <v>10.0</v>
      </c>
      <c r="B13" s="12" t="s">
        <v>25</v>
      </c>
      <c r="C13" s="13" t="s">
        <v>543</v>
      </c>
      <c r="D13" s="14">
        <v>1364.0</v>
      </c>
      <c r="E13" s="16"/>
      <c r="F13" s="14">
        <f t="shared" si="1"/>
        <v>1364</v>
      </c>
      <c r="G13" s="19">
        <f t="shared" si="2"/>
        <v>18563</v>
      </c>
    </row>
    <row r="14">
      <c r="A14" s="12">
        <v>11.0</v>
      </c>
      <c r="B14" s="12" t="s">
        <v>25</v>
      </c>
      <c r="C14" s="13" t="s">
        <v>543</v>
      </c>
      <c r="D14" s="14">
        <v>1433.0</v>
      </c>
      <c r="E14" s="16"/>
      <c r="F14" s="14">
        <f t="shared" si="1"/>
        <v>1433</v>
      </c>
      <c r="G14" s="19">
        <f t="shared" si="2"/>
        <v>19996</v>
      </c>
    </row>
    <row r="15">
      <c r="A15" s="12">
        <v>12.0</v>
      </c>
      <c r="B15" s="12" t="s">
        <v>22</v>
      </c>
      <c r="C15" s="13" t="s">
        <v>350</v>
      </c>
      <c r="D15" s="14">
        <v>1829.0</v>
      </c>
      <c r="E15" s="14">
        <v>1829.0</v>
      </c>
      <c r="F15" s="14">
        <f t="shared" si="1"/>
        <v>3658</v>
      </c>
      <c r="G15" s="19">
        <f t="shared" si="2"/>
        <v>23654</v>
      </c>
    </row>
    <row r="16">
      <c r="A16" s="12">
        <v>13.0</v>
      </c>
      <c r="B16" s="12" t="s">
        <v>25</v>
      </c>
      <c r="C16" s="13" t="s">
        <v>543</v>
      </c>
      <c r="D16" s="14">
        <v>1504.0</v>
      </c>
      <c r="E16" s="16"/>
      <c r="F16" s="14">
        <f t="shared" si="1"/>
        <v>1504</v>
      </c>
      <c r="G16" s="19">
        <f t="shared" si="2"/>
        <v>25158</v>
      </c>
    </row>
    <row r="17">
      <c r="A17" s="12">
        <v>14.0</v>
      </c>
      <c r="B17" s="12" t="s">
        <v>25</v>
      </c>
      <c r="C17" s="13" t="s">
        <v>543</v>
      </c>
      <c r="D17" s="14">
        <v>1580.0</v>
      </c>
      <c r="E17" s="16"/>
      <c r="F17" s="14">
        <f t="shared" si="1"/>
        <v>1580</v>
      </c>
      <c r="G17" s="19">
        <f t="shared" si="2"/>
        <v>26738</v>
      </c>
    </row>
    <row r="18">
      <c r="A18" s="12">
        <v>15.0</v>
      </c>
      <c r="B18" s="12" t="s">
        <v>144</v>
      </c>
      <c r="C18" s="13" t="s">
        <v>145</v>
      </c>
      <c r="D18" s="14">
        <v>2117.0</v>
      </c>
      <c r="E18" s="16"/>
      <c r="F18" s="14">
        <f t="shared" si="1"/>
        <v>2117</v>
      </c>
      <c r="G18" s="19">
        <f t="shared" si="2"/>
        <v>28855</v>
      </c>
    </row>
    <row r="19">
      <c r="A19" s="12">
        <v>16.0</v>
      </c>
      <c r="B19" s="12" t="s">
        <v>138</v>
      </c>
      <c r="C19" s="13" t="s">
        <v>139</v>
      </c>
      <c r="D19" s="14">
        <v>5146.0</v>
      </c>
      <c r="E19" s="16"/>
      <c r="F19" s="14">
        <f t="shared" si="1"/>
        <v>5146</v>
      </c>
      <c r="G19" s="19">
        <f t="shared" si="2"/>
        <v>34001</v>
      </c>
    </row>
    <row r="20">
      <c r="A20" s="24"/>
      <c r="B20" s="24"/>
      <c r="C20" s="26"/>
      <c r="D20" s="27">
        <v>19.0</v>
      </c>
      <c r="E20" s="28"/>
      <c r="F20" s="27">
        <f>SUM(F4:F19)</f>
        <v>34001</v>
      </c>
      <c r="G20" s="29">
        <f>G19</f>
        <v>34001</v>
      </c>
    </row>
    <row r="21">
      <c r="C21" s="30"/>
      <c r="G21" s="30"/>
    </row>
    <row r="22">
      <c r="A22" s="4" t="s">
        <v>673</v>
      </c>
      <c r="B22" s="5"/>
      <c r="C22" s="5"/>
      <c r="D22" s="5"/>
      <c r="E22" s="5"/>
      <c r="F22" s="5"/>
      <c r="G22" s="6"/>
    </row>
    <row r="23">
      <c r="A23" s="7"/>
      <c r="B23" s="8"/>
      <c r="C23" s="8"/>
      <c r="D23" s="8"/>
      <c r="E23" s="8"/>
      <c r="F23" s="8"/>
      <c r="G23" s="9"/>
    </row>
    <row r="24">
      <c r="A24" s="10"/>
      <c r="B24" s="10" t="s">
        <v>6</v>
      </c>
      <c r="C24" s="11" t="s">
        <v>7</v>
      </c>
      <c r="D24" s="10" t="s">
        <v>8</v>
      </c>
      <c r="E24" s="10" t="s">
        <v>9</v>
      </c>
      <c r="F24" s="10" t="s">
        <v>10</v>
      </c>
      <c r="G24" s="11" t="s">
        <v>11</v>
      </c>
    </row>
    <row r="25">
      <c r="A25" s="12">
        <v>1.0</v>
      </c>
      <c r="B25" s="12" t="s">
        <v>153</v>
      </c>
      <c r="C25" s="13" t="s">
        <v>679</v>
      </c>
      <c r="D25" s="14">
        <v>1790.0</v>
      </c>
      <c r="E25" s="16"/>
      <c r="F25" s="14">
        <f t="shared" ref="F25:F44" si="3">SUM(D25:E25)</f>
        <v>1790</v>
      </c>
      <c r="G25" s="19">
        <f>F25</f>
        <v>1790</v>
      </c>
    </row>
    <row r="26">
      <c r="A26" s="12">
        <v>2.0</v>
      </c>
      <c r="B26" s="12" t="s">
        <v>93</v>
      </c>
      <c r="C26" s="13" t="s">
        <v>108</v>
      </c>
      <c r="D26" s="14">
        <v>1473.0</v>
      </c>
      <c r="E26" s="16"/>
      <c r="F26" s="14">
        <f t="shared" si="3"/>
        <v>1473</v>
      </c>
      <c r="G26" s="19">
        <f t="shared" ref="G26:G44" si="4">G25+F26</f>
        <v>3263</v>
      </c>
    </row>
    <row r="27">
      <c r="A27" s="12">
        <v>3.0</v>
      </c>
      <c r="B27" s="12" t="s">
        <v>93</v>
      </c>
      <c r="C27" s="13" t="s">
        <v>486</v>
      </c>
      <c r="D27" s="14">
        <v>1546.0</v>
      </c>
      <c r="E27" s="16"/>
      <c r="F27" s="14">
        <f t="shared" si="3"/>
        <v>1546</v>
      </c>
      <c r="G27" s="19">
        <f t="shared" si="4"/>
        <v>4809</v>
      </c>
    </row>
    <row r="28">
      <c r="A28" s="12">
        <v>4.0</v>
      </c>
      <c r="B28" s="12" t="s">
        <v>93</v>
      </c>
      <c r="C28" s="13" t="s">
        <v>486</v>
      </c>
      <c r="D28" s="14">
        <v>1624.0</v>
      </c>
      <c r="E28" s="16"/>
      <c r="F28" s="14">
        <f t="shared" si="3"/>
        <v>1624</v>
      </c>
      <c r="G28" s="19">
        <f t="shared" si="4"/>
        <v>6433</v>
      </c>
    </row>
    <row r="29">
      <c r="A29" s="12">
        <v>5.0</v>
      </c>
      <c r="B29" s="12" t="s">
        <v>153</v>
      </c>
      <c r="C29" s="13" t="s">
        <v>403</v>
      </c>
      <c r="D29" s="14">
        <v>2176.0</v>
      </c>
      <c r="E29" s="14">
        <v>2176.0</v>
      </c>
      <c r="F29" s="14">
        <f t="shared" si="3"/>
        <v>4352</v>
      </c>
      <c r="G29" s="19">
        <f t="shared" si="4"/>
        <v>10785</v>
      </c>
    </row>
    <row r="30">
      <c r="A30" s="12">
        <v>6.0</v>
      </c>
      <c r="B30" s="12" t="s">
        <v>151</v>
      </c>
      <c r="C30" s="13" t="s">
        <v>558</v>
      </c>
      <c r="D30" s="14">
        <v>1790.0</v>
      </c>
      <c r="E30" s="16"/>
      <c r="F30" s="14">
        <f t="shared" si="3"/>
        <v>1790</v>
      </c>
      <c r="G30" s="19">
        <f t="shared" si="4"/>
        <v>12575</v>
      </c>
    </row>
    <row r="31">
      <c r="A31" s="12">
        <v>7.0</v>
      </c>
      <c r="B31" s="12" t="s">
        <v>151</v>
      </c>
      <c r="C31" s="13" t="s">
        <v>558</v>
      </c>
      <c r="D31" s="14">
        <v>1880.0</v>
      </c>
      <c r="E31" s="16"/>
      <c r="F31" s="14">
        <f t="shared" si="3"/>
        <v>1880</v>
      </c>
      <c r="G31" s="19">
        <f t="shared" si="4"/>
        <v>14455</v>
      </c>
    </row>
    <row r="32">
      <c r="A32" s="12">
        <v>8.0</v>
      </c>
      <c r="B32" s="12" t="s">
        <v>151</v>
      </c>
      <c r="C32" s="13" t="s">
        <v>558</v>
      </c>
      <c r="D32" s="14">
        <v>1973.0</v>
      </c>
      <c r="E32" s="16"/>
      <c r="F32" s="14">
        <f t="shared" si="3"/>
        <v>1973</v>
      </c>
      <c r="G32" s="19">
        <f t="shared" si="4"/>
        <v>16428</v>
      </c>
    </row>
    <row r="33">
      <c r="A33" s="12">
        <v>9.0</v>
      </c>
      <c r="B33" s="12" t="s">
        <v>151</v>
      </c>
      <c r="C33" s="13" t="s">
        <v>558</v>
      </c>
      <c r="D33" s="14">
        <v>2072.0</v>
      </c>
      <c r="E33" s="16"/>
      <c r="F33" s="14">
        <f t="shared" si="3"/>
        <v>2072</v>
      </c>
      <c r="G33" s="19">
        <f t="shared" si="4"/>
        <v>18500</v>
      </c>
    </row>
    <row r="34">
      <c r="A34" s="12">
        <v>10.0</v>
      </c>
      <c r="B34" s="12" t="s">
        <v>157</v>
      </c>
      <c r="C34" s="13" t="s">
        <v>684</v>
      </c>
      <c r="D34" s="14">
        <v>2176.0</v>
      </c>
      <c r="E34" s="14">
        <v>2176.0</v>
      </c>
      <c r="F34" s="14">
        <f t="shared" si="3"/>
        <v>4352</v>
      </c>
      <c r="G34" s="19">
        <f t="shared" si="4"/>
        <v>22852</v>
      </c>
    </row>
    <row r="35">
      <c r="A35" s="12">
        <v>11.0</v>
      </c>
      <c r="B35" s="12" t="s">
        <v>99</v>
      </c>
      <c r="C35" s="13" t="s">
        <v>114</v>
      </c>
      <c r="D35" s="14">
        <v>1473.0</v>
      </c>
      <c r="E35" s="16"/>
      <c r="F35" s="14">
        <f t="shared" si="3"/>
        <v>1473</v>
      </c>
      <c r="G35" s="19">
        <f t="shared" si="4"/>
        <v>24325</v>
      </c>
    </row>
    <row r="36">
      <c r="A36" s="12">
        <v>12.0</v>
      </c>
      <c r="B36" s="12" t="s">
        <v>99</v>
      </c>
      <c r="C36" s="13" t="s">
        <v>498</v>
      </c>
      <c r="D36" s="14">
        <v>1546.0</v>
      </c>
      <c r="E36" s="16"/>
      <c r="F36" s="14">
        <f t="shared" si="3"/>
        <v>1546</v>
      </c>
      <c r="G36" s="19">
        <f t="shared" si="4"/>
        <v>25871</v>
      </c>
    </row>
    <row r="37">
      <c r="A37" s="12">
        <v>13.0</v>
      </c>
      <c r="B37" s="12" t="s">
        <v>99</v>
      </c>
      <c r="C37" s="13" t="s">
        <v>498</v>
      </c>
      <c r="D37" s="14">
        <v>1624.0</v>
      </c>
      <c r="E37" s="16"/>
      <c r="F37" s="14">
        <f t="shared" si="3"/>
        <v>1624</v>
      </c>
      <c r="G37" s="19">
        <f t="shared" si="4"/>
        <v>27495</v>
      </c>
    </row>
    <row r="38">
      <c r="A38" s="12">
        <v>14.0</v>
      </c>
      <c r="B38" s="12" t="s">
        <v>153</v>
      </c>
      <c r="C38" s="13" t="s">
        <v>403</v>
      </c>
      <c r="D38" s="14">
        <v>2176.0</v>
      </c>
      <c r="E38" s="14">
        <v>2176.0</v>
      </c>
      <c r="F38" s="14">
        <f t="shared" si="3"/>
        <v>4352</v>
      </c>
      <c r="G38" s="19">
        <f t="shared" si="4"/>
        <v>31847</v>
      </c>
    </row>
    <row r="39">
      <c r="A39" s="12">
        <v>15.0</v>
      </c>
      <c r="B39" s="12" t="s">
        <v>148</v>
      </c>
      <c r="C39" s="13" t="s">
        <v>555</v>
      </c>
      <c r="D39" s="14">
        <v>1790.0</v>
      </c>
      <c r="E39" s="16"/>
      <c r="F39" s="14">
        <f t="shared" si="3"/>
        <v>1790</v>
      </c>
      <c r="G39" s="19">
        <f t="shared" si="4"/>
        <v>33637</v>
      </c>
    </row>
    <row r="40">
      <c r="A40" s="12">
        <v>16.0</v>
      </c>
      <c r="B40" s="12" t="s">
        <v>148</v>
      </c>
      <c r="C40" s="13" t="s">
        <v>555</v>
      </c>
      <c r="D40" s="14">
        <v>1880.0</v>
      </c>
      <c r="E40" s="16"/>
      <c r="F40" s="14">
        <f t="shared" si="3"/>
        <v>1880</v>
      </c>
      <c r="G40" s="19">
        <f t="shared" si="4"/>
        <v>35517</v>
      </c>
    </row>
    <row r="41">
      <c r="A41" s="12">
        <v>17.0</v>
      </c>
      <c r="B41" s="12" t="s">
        <v>148</v>
      </c>
      <c r="C41" s="13" t="s">
        <v>555</v>
      </c>
      <c r="D41" s="14">
        <v>1973.0</v>
      </c>
      <c r="E41" s="16"/>
      <c r="F41" s="14">
        <f t="shared" si="3"/>
        <v>1973</v>
      </c>
      <c r="G41" s="19">
        <f t="shared" si="4"/>
        <v>37490</v>
      </c>
    </row>
    <row r="42">
      <c r="A42" s="12">
        <v>18.0</v>
      </c>
      <c r="B42" s="12" t="s">
        <v>148</v>
      </c>
      <c r="C42" s="13" t="s">
        <v>555</v>
      </c>
      <c r="D42" s="14">
        <v>2072.0</v>
      </c>
      <c r="E42" s="16"/>
      <c r="F42" s="14">
        <f t="shared" si="3"/>
        <v>2072</v>
      </c>
      <c r="G42" s="19">
        <f t="shared" si="4"/>
        <v>39562</v>
      </c>
    </row>
    <row r="43">
      <c r="A43" s="12">
        <v>19.0</v>
      </c>
      <c r="B43" s="12" t="s">
        <v>160</v>
      </c>
      <c r="C43" s="13" t="s">
        <v>686</v>
      </c>
      <c r="D43" s="14">
        <v>2176.0</v>
      </c>
      <c r="E43" s="14">
        <v>2176.0</v>
      </c>
      <c r="F43" s="14">
        <f t="shared" si="3"/>
        <v>4352</v>
      </c>
      <c r="G43" s="19">
        <f t="shared" si="4"/>
        <v>43914</v>
      </c>
    </row>
    <row r="44">
      <c r="A44" s="12">
        <v>20.0</v>
      </c>
      <c r="B44" s="12" t="s">
        <v>165</v>
      </c>
      <c r="C44" s="13" t="s">
        <v>166</v>
      </c>
      <c r="D44" s="14">
        <v>7088.0</v>
      </c>
      <c r="E44" s="16"/>
      <c r="F44" s="14">
        <f t="shared" si="3"/>
        <v>7088</v>
      </c>
      <c r="G44" s="19">
        <f t="shared" si="4"/>
        <v>51002</v>
      </c>
    </row>
    <row r="45">
      <c r="A45" s="24"/>
      <c r="B45" s="24"/>
      <c r="C45" s="26"/>
      <c r="D45" s="27">
        <v>24.0</v>
      </c>
      <c r="E45" s="28"/>
      <c r="F45" s="27">
        <f>SUM(F25:F44)</f>
        <v>51002</v>
      </c>
      <c r="G45" s="29">
        <f>G44</f>
        <v>51002</v>
      </c>
    </row>
    <row r="46">
      <c r="C46" s="30"/>
      <c r="G46" s="30"/>
    </row>
    <row r="47">
      <c r="A47" s="4" t="s">
        <v>682</v>
      </c>
      <c r="B47" s="5"/>
      <c r="C47" s="5"/>
      <c r="D47" s="5"/>
      <c r="E47" s="5"/>
      <c r="F47" s="5"/>
      <c r="G47" s="6"/>
    </row>
    <row r="48">
      <c r="A48" s="7"/>
      <c r="B48" s="8"/>
      <c r="C48" s="8"/>
      <c r="D48" s="8"/>
      <c r="E48" s="8"/>
      <c r="F48" s="8"/>
      <c r="G48" s="9"/>
    </row>
    <row r="49">
      <c r="A49" s="10"/>
      <c r="B49" s="10" t="s">
        <v>6</v>
      </c>
      <c r="C49" s="11" t="s">
        <v>7</v>
      </c>
      <c r="D49" s="10" t="s">
        <v>8</v>
      </c>
      <c r="E49" s="10" t="s">
        <v>9</v>
      </c>
      <c r="F49" s="10" t="s">
        <v>10</v>
      </c>
      <c r="G49" s="11" t="s">
        <v>11</v>
      </c>
    </row>
    <row r="50">
      <c r="A50" s="12">
        <v>1.0</v>
      </c>
      <c r="B50" s="12" t="s">
        <v>170</v>
      </c>
      <c r="C50" s="13" t="s">
        <v>171</v>
      </c>
      <c r="D50" s="14">
        <v>1768.0</v>
      </c>
      <c r="E50" s="16"/>
      <c r="F50" s="14">
        <f t="shared" ref="F50:F83" si="5">SUM(D50:E50)</f>
        <v>1768</v>
      </c>
      <c r="G50" s="19">
        <f>F50</f>
        <v>1768</v>
      </c>
    </row>
    <row r="51">
      <c r="A51" s="12">
        <v>2.0</v>
      </c>
      <c r="B51" s="12" t="s">
        <v>170</v>
      </c>
      <c r="C51" s="13" t="s">
        <v>171</v>
      </c>
      <c r="D51" s="14">
        <v>1856.0</v>
      </c>
      <c r="E51" s="16"/>
      <c r="F51" s="14">
        <f t="shared" si="5"/>
        <v>1856</v>
      </c>
      <c r="G51" s="19">
        <f t="shared" ref="G51:G83" si="6">G50+F51</f>
        <v>3624</v>
      </c>
    </row>
    <row r="52">
      <c r="A52" s="12">
        <v>3.0</v>
      </c>
      <c r="B52" s="12" t="s">
        <v>170</v>
      </c>
      <c r="C52" s="13" t="s">
        <v>171</v>
      </c>
      <c r="D52" s="14">
        <v>1949.0</v>
      </c>
      <c r="E52" s="16"/>
      <c r="F52" s="14">
        <f t="shared" si="5"/>
        <v>1949</v>
      </c>
      <c r="G52" s="19">
        <f t="shared" si="6"/>
        <v>5573</v>
      </c>
    </row>
    <row r="53">
      <c r="A53" s="12">
        <v>4.0</v>
      </c>
      <c r="B53" s="12" t="s">
        <v>170</v>
      </c>
      <c r="C53" s="13" t="s">
        <v>171</v>
      </c>
      <c r="D53" s="14">
        <v>2046.0</v>
      </c>
      <c r="E53" s="16"/>
      <c r="F53" s="14">
        <f t="shared" si="5"/>
        <v>2046</v>
      </c>
      <c r="G53" s="19">
        <f t="shared" si="6"/>
        <v>7619</v>
      </c>
    </row>
    <row r="54">
      <c r="A54" s="12">
        <v>5.0</v>
      </c>
      <c r="B54" s="12" t="s">
        <v>170</v>
      </c>
      <c r="C54" s="13" t="s">
        <v>171</v>
      </c>
      <c r="D54" s="14">
        <v>2148.0</v>
      </c>
      <c r="E54" s="16"/>
      <c r="F54" s="14">
        <f t="shared" si="5"/>
        <v>2148</v>
      </c>
      <c r="G54" s="19">
        <f t="shared" si="6"/>
        <v>9767</v>
      </c>
    </row>
    <row r="55">
      <c r="A55" s="12">
        <v>6.0</v>
      </c>
      <c r="B55" s="12" t="s">
        <v>170</v>
      </c>
      <c r="C55" s="13" t="s">
        <v>171</v>
      </c>
      <c r="D55" s="14">
        <v>2256.0</v>
      </c>
      <c r="E55" s="16"/>
      <c r="F55" s="14">
        <f t="shared" si="5"/>
        <v>2256</v>
      </c>
      <c r="G55" s="19">
        <f t="shared" si="6"/>
        <v>12023</v>
      </c>
    </row>
    <row r="56">
      <c r="A56" s="12">
        <v>7.0</v>
      </c>
      <c r="B56" s="12" t="s">
        <v>170</v>
      </c>
      <c r="C56" s="13" t="s">
        <v>171</v>
      </c>
      <c r="D56" s="14">
        <v>2369.0</v>
      </c>
      <c r="E56" s="16"/>
      <c r="F56" s="14">
        <f t="shared" si="5"/>
        <v>2369</v>
      </c>
      <c r="G56" s="19">
        <f t="shared" si="6"/>
        <v>14392</v>
      </c>
    </row>
    <row r="57">
      <c r="A57" s="12">
        <v>8.0</v>
      </c>
      <c r="B57" s="12" t="s">
        <v>173</v>
      </c>
      <c r="C57" s="13" t="s">
        <v>690</v>
      </c>
      <c r="D57" s="14">
        <v>2487.0</v>
      </c>
      <c r="E57" s="14">
        <v>2487.0</v>
      </c>
      <c r="F57" s="14">
        <f t="shared" si="5"/>
        <v>4974</v>
      </c>
      <c r="G57" s="19">
        <f t="shared" si="6"/>
        <v>19366</v>
      </c>
    </row>
    <row r="58">
      <c r="A58" s="12">
        <v>9.0</v>
      </c>
      <c r="B58" s="12" t="s">
        <v>104</v>
      </c>
      <c r="C58" s="13" t="s">
        <v>119</v>
      </c>
      <c r="D58" s="14">
        <v>1768.0</v>
      </c>
      <c r="E58" s="16"/>
      <c r="F58" s="14">
        <f t="shared" si="5"/>
        <v>1768</v>
      </c>
      <c r="G58" s="19">
        <f t="shared" si="6"/>
        <v>21134</v>
      </c>
    </row>
    <row r="59">
      <c r="A59" s="12">
        <v>10.0</v>
      </c>
      <c r="B59" s="12" t="s">
        <v>104</v>
      </c>
      <c r="C59" s="13" t="s">
        <v>119</v>
      </c>
      <c r="D59" s="14">
        <v>1856.0</v>
      </c>
      <c r="E59" s="16"/>
      <c r="F59" s="14">
        <f t="shared" si="5"/>
        <v>1856</v>
      </c>
      <c r="G59" s="19">
        <f t="shared" si="6"/>
        <v>22990</v>
      </c>
    </row>
    <row r="60">
      <c r="A60" s="12">
        <v>11.0</v>
      </c>
      <c r="B60" s="12" t="s">
        <v>104</v>
      </c>
      <c r="C60" s="13" t="s">
        <v>119</v>
      </c>
      <c r="D60" s="14">
        <v>2611.0</v>
      </c>
      <c r="E60" s="16"/>
      <c r="F60" s="14">
        <f t="shared" si="5"/>
        <v>2611</v>
      </c>
      <c r="G60" s="19">
        <f t="shared" si="6"/>
        <v>25601</v>
      </c>
    </row>
    <row r="61">
      <c r="A61" s="12">
        <v>12.0</v>
      </c>
      <c r="B61" s="12" t="s">
        <v>170</v>
      </c>
      <c r="C61" s="13" t="s">
        <v>171</v>
      </c>
      <c r="D61" s="14">
        <v>1768.0</v>
      </c>
      <c r="E61" s="16"/>
      <c r="F61" s="14">
        <f t="shared" si="5"/>
        <v>1768</v>
      </c>
      <c r="G61" s="19">
        <f t="shared" si="6"/>
        <v>27369</v>
      </c>
    </row>
    <row r="62">
      <c r="A62" s="12">
        <v>13.0</v>
      </c>
      <c r="B62" s="12" t="s">
        <v>170</v>
      </c>
      <c r="C62" s="13" t="s">
        <v>171</v>
      </c>
      <c r="D62" s="14">
        <v>1856.0</v>
      </c>
      <c r="E62" s="16"/>
      <c r="F62" s="14">
        <f t="shared" si="5"/>
        <v>1856</v>
      </c>
      <c r="G62" s="19">
        <f t="shared" si="6"/>
        <v>29225</v>
      </c>
    </row>
    <row r="63">
      <c r="A63" s="12">
        <v>14.0</v>
      </c>
      <c r="B63" s="12" t="s">
        <v>170</v>
      </c>
      <c r="C63" s="13" t="s">
        <v>171</v>
      </c>
      <c r="D63" s="14">
        <v>1949.0</v>
      </c>
      <c r="E63" s="16"/>
      <c r="F63" s="14">
        <f t="shared" si="5"/>
        <v>1949</v>
      </c>
      <c r="G63" s="19">
        <f t="shared" si="6"/>
        <v>31174</v>
      </c>
    </row>
    <row r="64">
      <c r="A64" s="12">
        <v>15.0</v>
      </c>
      <c r="B64" s="12" t="s">
        <v>170</v>
      </c>
      <c r="C64" s="13" t="s">
        <v>171</v>
      </c>
      <c r="D64" s="14">
        <v>2046.0</v>
      </c>
      <c r="E64" s="16"/>
      <c r="F64" s="14">
        <f t="shared" si="5"/>
        <v>2046</v>
      </c>
      <c r="G64" s="19">
        <f t="shared" si="6"/>
        <v>33220</v>
      </c>
    </row>
    <row r="65">
      <c r="A65" s="12">
        <v>16.0</v>
      </c>
      <c r="B65" s="12" t="s">
        <v>170</v>
      </c>
      <c r="C65" s="13" t="s">
        <v>171</v>
      </c>
      <c r="D65" s="14">
        <v>2148.0</v>
      </c>
      <c r="E65" s="16"/>
      <c r="F65" s="14">
        <f t="shared" si="5"/>
        <v>2148</v>
      </c>
      <c r="G65" s="19">
        <f t="shared" si="6"/>
        <v>35368</v>
      </c>
    </row>
    <row r="66">
      <c r="A66" s="12">
        <v>17.0</v>
      </c>
      <c r="B66" s="12" t="s">
        <v>67</v>
      </c>
      <c r="C66" s="13" t="s">
        <v>176</v>
      </c>
      <c r="D66" s="14">
        <v>1768.0</v>
      </c>
      <c r="E66" s="16"/>
      <c r="F66" s="14">
        <f t="shared" si="5"/>
        <v>1768</v>
      </c>
      <c r="G66" s="19">
        <f t="shared" si="6"/>
        <v>37136</v>
      </c>
    </row>
    <row r="67">
      <c r="A67" s="12">
        <v>18.0</v>
      </c>
      <c r="B67" s="12" t="s">
        <v>67</v>
      </c>
      <c r="C67" s="13" t="s">
        <v>176</v>
      </c>
      <c r="D67" s="14">
        <v>1856.0</v>
      </c>
      <c r="E67" s="16"/>
      <c r="F67" s="14">
        <f t="shared" si="5"/>
        <v>1856</v>
      </c>
      <c r="G67" s="19">
        <f t="shared" si="6"/>
        <v>38992</v>
      </c>
    </row>
    <row r="68">
      <c r="A68" s="12">
        <v>19.0</v>
      </c>
      <c r="B68" s="12" t="s">
        <v>67</v>
      </c>
      <c r="C68" s="13" t="s">
        <v>176</v>
      </c>
      <c r="D68" s="14">
        <v>1949.0</v>
      </c>
      <c r="E68" s="16"/>
      <c r="F68" s="14">
        <f t="shared" si="5"/>
        <v>1949</v>
      </c>
      <c r="G68" s="19">
        <f t="shared" si="6"/>
        <v>40941</v>
      </c>
    </row>
    <row r="69">
      <c r="A69" s="12">
        <v>20.0</v>
      </c>
      <c r="B69" s="12" t="s">
        <v>67</v>
      </c>
      <c r="C69" s="13" t="s">
        <v>176</v>
      </c>
      <c r="D69" s="14">
        <v>2046.0</v>
      </c>
      <c r="E69" s="16"/>
      <c r="F69" s="14">
        <f t="shared" si="5"/>
        <v>2046</v>
      </c>
      <c r="G69" s="19">
        <f t="shared" si="6"/>
        <v>42987</v>
      </c>
    </row>
    <row r="70">
      <c r="A70" s="12">
        <v>21.0</v>
      </c>
      <c r="B70" s="12" t="s">
        <v>67</v>
      </c>
      <c r="C70" s="13" t="s">
        <v>176</v>
      </c>
      <c r="D70" s="14">
        <v>2148.0</v>
      </c>
      <c r="E70" s="16"/>
      <c r="F70" s="14">
        <f t="shared" si="5"/>
        <v>2148</v>
      </c>
      <c r="G70" s="19">
        <f t="shared" si="6"/>
        <v>45135</v>
      </c>
    </row>
    <row r="71">
      <c r="A71" s="12">
        <v>22.0</v>
      </c>
      <c r="B71" s="12" t="s">
        <v>180</v>
      </c>
      <c r="C71" s="13" t="s">
        <v>181</v>
      </c>
      <c r="D71" s="14">
        <v>2879.0</v>
      </c>
      <c r="E71" s="14">
        <v>2879.0</v>
      </c>
      <c r="F71" s="14">
        <f t="shared" si="5"/>
        <v>5758</v>
      </c>
      <c r="G71" s="19">
        <f t="shared" si="6"/>
        <v>50893</v>
      </c>
    </row>
    <row r="72">
      <c r="A72" s="12">
        <v>23.0</v>
      </c>
      <c r="B72" s="12" t="s">
        <v>106</v>
      </c>
      <c r="C72" s="13" t="s">
        <v>122</v>
      </c>
      <c r="D72" s="14">
        <v>1768.0</v>
      </c>
      <c r="E72" s="16"/>
      <c r="F72" s="14">
        <f t="shared" si="5"/>
        <v>1768</v>
      </c>
      <c r="G72" s="19">
        <f t="shared" si="6"/>
        <v>52661</v>
      </c>
    </row>
    <row r="73">
      <c r="A73" s="12">
        <v>24.0</v>
      </c>
      <c r="B73" s="12" t="s">
        <v>106</v>
      </c>
      <c r="C73" s="13" t="s">
        <v>122</v>
      </c>
      <c r="D73" s="14">
        <v>1856.0</v>
      </c>
      <c r="E73" s="16"/>
      <c r="F73" s="14">
        <f t="shared" si="5"/>
        <v>1856</v>
      </c>
      <c r="G73" s="19">
        <f t="shared" si="6"/>
        <v>54517</v>
      </c>
    </row>
    <row r="74">
      <c r="A74" s="12">
        <v>25.0</v>
      </c>
      <c r="B74" s="12" t="s">
        <v>67</v>
      </c>
      <c r="C74" s="13" t="s">
        <v>176</v>
      </c>
      <c r="D74" s="14">
        <v>1768.0</v>
      </c>
      <c r="E74" s="16"/>
      <c r="F74" s="14">
        <f t="shared" si="5"/>
        <v>1768</v>
      </c>
      <c r="G74" s="19">
        <f t="shared" si="6"/>
        <v>56285</v>
      </c>
    </row>
    <row r="75">
      <c r="A75" s="12">
        <v>26.0</v>
      </c>
      <c r="B75" s="12" t="s">
        <v>67</v>
      </c>
      <c r="C75" s="13" t="s">
        <v>176</v>
      </c>
      <c r="D75" s="14">
        <v>1856.0</v>
      </c>
      <c r="E75" s="16"/>
      <c r="F75" s="14">
        <f t="shared" si="5"/>
        <v>1856</v>
      </c>
      <c r="G75" s="19">
        <f t="shared" si="6"/>
        <v>58141</v>
      </c>
    </row>
    <row r="76">
      <c r="A76" s="12">
        <v>27.0</v>
      </c>
      <c r="B76" s="12" t="s">
        <v>67</v>
      </c>
      <c r="C76" s="13" t="s">
        <v>176</v>
      </c>
      <c r="D76" s="14">
        <v>1949.0</v>
      </c>
      <c r="E76" s="16"/>
      <c r="F76" s="14">
        <f t="shared" si="5"/>
        <v>1949</v>
      </c>
      <c r="G76" s="19">
        <f t="shared" si="6"/>
        <v>60090</v>
      </c>
    </row>
    <row r="77">
      <c r="A77" s="12">
        <v>28.0</v>
      </c>
      <c r="B77" s="12" t="s">
        <v>67</v>
      </c>
      <c r="C77" s="13" t="s">
        <v>176</v>
      </c>
      <c r="D77" s="14">
        <v>2046.0</v>
      </c>
      <c r="E77" s="16"/>
      <c r="F77" s="14">
        <f t="shared" si="5"/>
        <v>2046</v>
      </c>
      <c r="G77" s="19">
        <f t="shared" si="6"/>
        <v>62136</v>
      </c>
    </row>
    <row r="78">
      <c r="A78" s="12">
        <v>29.0</v>
      </c>
      <c r="B78" s="12" t="s">
        <v>67</v>
      </c>
      <c r="C78" s="13" t="s">
        <v>176</v>
      </c>
      <c r="D78" s="14">
        <v>2148.0</v>
      </c>
      <c r="E78" s="16"/>
      <c r="F78" s="14">
        <f t="shared" si="5"/>
        <v>2148</v>
      </c>
      <c r="G78" s="19">
        <f t="shared" si="6"/>
        <v>64284</v>
      </c>
    </row>
    <row r="79">
      <c r="A79" s="12">
        <v>30.0</v>
      </c>
      <c r="B79" s="12" t="s">
        <v>67</v>
      </c>
      <c r="C79" s="13" t="s">
        <v>176</v>
      </c>
      <c r="D79" s="14">
        <v>2256.0</v>
      </c>
      <c r="E79" s="16"/>
      <c r="F79" s="14">
        <f t="shared" si="5"/>
        <v>2256</v>
      </c>
      <c r="G79" s="19">
        <f t="shared" si="6"/>
        <v>66540</v>
      </c>
    </row>
    <row r="80">
      <c r="A80" s="12">
        <v>31.0</v>
      </c>
      <c r="B80" s="12" t="s">
        <v>67</v>
      </c>
      <c r="C80" s="13" t="s">
        <v>176</v>
      </c>
      <c r="D80" s="14">
        <v>2369.0</v>
      </c>
      <c r="E80" s="16"/>
      <c r="F80" s="14">
        <f t="shared" si="5"/>
        <v>2369</v>
      </c>
      <c r="G80" s="19">
        <f t="shared" si="6"/>
        <v>68909</v>
      </c>
    </row>
    <row r="81">
      <c r="A81" s="12">
        <v>32.0</v>
      </c>
      <c r="B81" s="12" t="s">
        <v>177</v>
      </c>
      <c r="C81" s="13" t="s">
        <v>698</v>
      </c>
      <c r="D81" s="14">
        <v>2487.0</v>
      </c>
      <c r="E81" s="14">
        <v>2487.0</v>
      </c>
      <c r="F81" s="14">
        <f t="shared" si="5"/>
        <v>4974</v>
      </c>
      <c r="G81" s="19">
        <f t="shared" si="6"/>
        <v>73883</v>
      </c>
    </row>
    <row r="82">
      <c r="A82" s="12">
        <v>33.0</v>
      </c>
      <c r="B82" s="12" t="s">
        <v>106</v>
      </c>
      <c r="C82" s="13" t="s">
        <v>122</v>
      </c>
      <c r="D82" s="14">
        <v>2611.0</v>
      </c>
      <c r="E82" s="16"/>
      <c r="F82" s="14">
        <f t="shared" si="5"/>
        <v>2611</v>
      </c>
      <c r="G82" s="19">
        <f t="shared" si="6"/>
        <v>76494</v>
      </c>
    </row>
    <row r="83">
      <c r="A83" s="12">
        <v>34.0</v>
      </c>
      <c r="B83" s="12" t="s">
        <v>322</v>
      </c>
      <c r="C83" s="13" t="s">
        <v>323</v>
      </c>
      <c r="D83" s="14">
        <v>8508.0</v>
      </c>
      <c r="E83" s="16"/>
      <c r="F83" s="14">
        <f t="shared" si="5"/>
        <v>8508</v>
      </c>
      <c r="G83" s="19">
        <f t="shared" si="6"/>
        <v>85002</v>
      </c>
    </row>
    <row r="84">
      <c r="A84" s="24"/>
      <c r="B84" s="24"/>
      <c r="C84" s="26"/>
      <c r="D84" s="27">
        <v>37.0</v>
      </c>
      <c r="E84" s="28"/>
      <c r="F84" s="27">
        <f>SUM(F50:F83)</f>
        <v>85002</v>
      </c>
      <c r="G84" s="29">
        <f>G83</f>
        <v>85002</v>
      </c>
    </row>
    <row r="85">
      <c r="C85" s="30"/>
      <c r="G85" s="30"/>
    </row>
    <row r="86">
      <c r="A86" s="4" t="s">
        <v>688</v>
      </c>
      <c r="B86" s="5"/>
      <c r="C86" s="5"/>
      <c r="D86" s="5"/>
      <c r="E86" s="5"/>
      <c r="F86" s="5"/>
      <c r="G86" s="6"/>
    </row>
    <row r="87">
      <c r="A87" s="7"/>
      <c r="B87" s="8"/>
      <c r="C87" s="8"/>
      <c r="D87" s="8"/>
      <c r="E87" s="8"/>
      <c r="F87" s="8"/>
      <c r="G87" s="9"/>
    </row>
    <row r="88">
      <c r="A88" s="10"/>
      <c r="B88" s="10" t="s">
        <v>6</v>
      </c>
      <c r="C88" s="11" t="s">
        <v>7</v>
      </c>
      <c r="D88" s="10" t="s">
        <v>8</v>
      </c>
      <c r="E88" s="10" t="s">
        <v>9</v>
      </c>
      <c r="F88" s="10" t="s">
        <v>10</v>
      </c>
      <c r="G88" s="11" t="s">
        <v>11</v>
      </c>
    </row>
    <row r="89">
      <c r="A89" s="12">
        <v>1.0</v>
      </c>
      <c r="B89" s="12" t="s">
        <v>202</v>
      </c>
      <c r="C89" s="13" t="s">
        <v>606</v>
      </c>
      <c r="D89" s="14">
        <v>3729.0</v>
      </c>
      <c r="E89" s="16"/>
      <c r="F89" s="14">
        <f t="shared" ref="F89:F119" si="7">SUM(D89:E89)</f>
        <v>3729</v>
      </c>
      <c r="G89" s="19">
        <f>F89</f>
        <v>3729</v>
      </c>
    </row>
    <row r="90">
      <c r="A90" s="12">
        <v>2.0</v>
      </c>
      <c r="B90" s="12" t="s">
        <v>202</v>
      </c>
      <c r="C90" s="13" t="s">
        <v>606</v>
      </c>
      <c r="D90" s="14">
        <v>3915.0</v>
      </c>
      <c r="E90" s="16"/>
      <c r="F90" s="14">
        <f t="shared" si="7"/>
        <v>3915</v>
      </c>
      <c r="G90" s="19">
        <f t="shared" ref="G90:G119" si="8">G89+F90</f>
        <v>7644</v>
      </c>
    </row>
    <row r="91">
      <c r="A91" s="12">
        <v>3.0</v>
      </c>
      <c r="B91" s="12" t="s">
        <v>210</v>
      </c>
      <c r="C91" s="13" t="s">
        <v>330</v>
      </c>
      <c r="D91" s="14">
        <v>4111.0</v>
      </c>
      <c r="E91" s="16"/>
      <c r="F91" s="14">
        <f t="shared" si="7"/>
        <v>4111</v>
      </c>
      <c r="G91" s="19">
        <f t="shared" si="8"/>
        <v>11755</v>
      </c>
    </row>
    <row r="92">
      <c r="A92" s="12">
        <v>4.0</v>
      </c>
      <c r="B92" s="12" t="s">
        <v>210</v>
      </c>
      <c r="C92" s="13" t="s">
        <v>330</v>
      </c>
      <c r="D92" s="14">
        <v>4316.0</v>
      </c>
      <c r="E92" s="16"/>
      <c r="F92" s="14">
        <f t="shared" si="7"/>
        <v>4316</v>
      </c>
      <c r="G92" s="19">
        <f t="shared" si="8"/>
        <v>16071</v>
      </c>
    </row>
    <row r="93">
      <c r="A93" s="12">
        <v>5.0</v>
      </c>
      <c r="B93" s="12" t="s">
        <v>206</v>
      </c>
      <c r="C93" s="13" t="s">
        <v>609</v>
      </c>
      <c r="D93" s="14">
        <v>3729.0</v>
      </c>
      <c r="E93" s="16"/>
      <c r="F93" s="14">
        <f t="shared" si="7"/>
        <v>3729</v>
      </c>
      <c r="G93" s="19">
        <f t="shared" si="8"/>
        <v>19800</v>
      </c>
    </row>
    <row r="94">
      <c r="A94" s="12">
        <v>6.0</v>
      </c>
      <c r="B94" s="12" t="s">
        <v>206</v>
      </c>
      <c r="C94" s="13" t="s">
        <v>609</v>
      </c>
      <c r="D94" s="14">
        <v>3915.0</v>
      </c>
      <c r="E94" s="16"/>
      <c r="F94" s="14">
        <f t="shared" si="7"/>
        <v>3915</v>
      </c>
      <c r="G94" s="19">
        <f t="shared" si="8"/>
        <v>23715</v>
      </c>
    </row>
    <row r="95">
      <c r="A95" s="12">
        <v>7.0</v>
      </c>
      <c r="B95" s="12" t="s">
        <v>200</v>
      </c>
      <c r="C95" s="13" t="s">
        <v>328</v>
      </c>
      <c r="D95" s="14">
        <v>4111.0</v>
      </c>
      <c r="E95" s="16"/>
      <c r="F95" s="14">
        <f t="shared" si="7"/>
        <v>4111</v>
      </c>
      <c r="G95" s="19">
        <f t="shared" si="8"/>
        <v>27826</v>
      </c>
    </row>
    <row r="96">
      <c r="A96" s="12">
        <v>8.0</v>
      </c>
      <c r="B96" s="12" t="s">
        <v>200</v>
      </c>
      <c r="C96" s="13" t="s">
        <v>328</v>
      </c>
      <c r="D96" s="14">
        <v>4316.0</v>
      </c>
      <c r="E96" s="16"/>
      <c r="F96" s="14">
        <f t="shared" si="7"/>
        <v>4316</v>
      </c>
      <c r="G96" s="19">
        <f t="shared" si="8"/>
        <v>32142</v>
      </c>
    </row>
    <row r="97">
      <c r="A97" s="12">
        <v>9.0</v>
      </c>
      <c r="B97" s="12" t="s">
        <v>212</v>
      </c>
      <c r="C97" s="13" t="s">
        <v>700</v>
      </c>
      <c r="D97" s="14">
        <v>5784.0</v>
      </c>
      <c r="E97" s="16"/>
      <c r="F97" s="14">
        <f t="shared" si="7"/>
        <v>5784</v>
      </c>
      <c r="G97" s="19">
        <f t="shared" si="8"/>
        <v>37926</v>
      </c>
    </row>
    <row r="98">
      <c r="A98" s="12">
        <v>10.0</v>
      </c>
      <c r="B98" s="12" t="s">
        <v>212</v>
      </c>
      <c r="C98" s="13" t="s">
        <v>614</v>
      </c>
      <c r="D98" s="14">
        <v>6073.0</v>
      </c>
      <c r="E98" s="14">
        <v>6073.0</v>
      </c>
      <c r="F98" s="14">
        <f t="shared" si="7"/>
        <v>12146</v>
      </c>
      <c r="G98" s="19">
        <f t="shared" si="8"/>
        <v>50072</v>
      </c>
    </row>
    <row r="99">
      <c r="A99" s="12">
        <v>11.0</v>
      </c>
      <c r="B99" s="12" t="s">
        <v>157</v>
      </c>
      <c r="C99" s="13" t="s">
        <v>618</v>
      </c>
      <c r="D99" s="14">
        <v>3729.0</v>
      </c>
      <c r="E99" s="16"/>
      <c r="F99" s="14">
        <f t="shared" si="7"/>
        <v>3729</v>
      </c>
      <c r="G99" s="19">
        <f t="shared" si="8"/>
        <v>53801</v>
      </c>
    </row>
    <row r="100">
      <c r="A100" s="12">
        <v>12.0</v>
      </c>
      <c r="B100" s="12" t="s">
        <v>157</v>
      </c>
      <c r="C100" s="13" t="s">
        <v>618</v>
      </c>
      <c r="D100" s="14">
        <v>3915.0</v>
      </c>
      <c r="E100" s="16"/>
      <c r="F100" s="14">
        <f t="shared" si="7"/>
        <v>3915</v>
      </c>
      <c r="G100" s="19">
        <f t="shared" si="8"/>
        <v>57716</v>
      </c>
    </row>
    <row r="101">
      <c r="A101" s="12">
        <v>13.0</v>
      </c>
      <c r="B101" s="12" t="s">
        <v>224</v>
      </c>
      <c r="C101" s="13" t="s">
        <v>335</v>
      </c>
      <c r="D101" s="14">
        <v>4111.0</v>
      </c>
      <c r="E101" s="16"/>
      <c r="F101" s="14">
        <f t="shared" si="7"/>
        <v>4111</v>
      </c>
      <c r="G101" s="19">
        <f t="shared" si="8"/>
        <v>61827</v>
      </c>
    </row>
    <row r="102">
      <c r="A102" s="12">
        <v>14.0</v>
      </c>
      <c r="B102" s="12" t="s">
        <v>224</v>
      </c>
      <c r="C102" s="13" t="s">
        <v>335</v>
      </c>
      <c r="D102" s="14">
        <v>4316.0</v>
      </c>
      <c r="E102" s="16"/>
      <c r="F102" s="14">
        <f t="shared" si="7"/>
        <v>4316</v>
      </c>
      <c r="G102" s="19">
        <f t="shared" si="8"/>
        <v>66143</v>
      </c>
    </row>
    <row r="103">
      <c r="A103" s="12">
        <v>15.0</v>
      </c>
      <c r="B103" s="12" t="s">
        <v>218</v>
      </c>
      <c r="C103" s="13" t="s">
        <v>616</v>
      </c>
      <c r="D103" s="14">
        <v>3729.0</v>
      </c>
      <c r="E103" s="16"/>
      <c r="F103" s="14">
        <f t="shared" si="7"/>
        <v>3729</v>
      </c>
      <c r="G103" s="19">
        <f t="shared" si="8"/>
        <v>69872</v>
      </c>
    </row>
    <row r="104">
      <c r="A104" s="12">
        <v>16.0</v>
      </c>
      <c r="B104" s="12" t="s">
        <v>218</v>
      </c>
      <c r="C104" s="13" t="s">
        <v>616</v>
      </c>
      <c r="D104" s="14">
        <v>3915.0</v>
      </c>
      <c r="E104" s="16"/>
      <c r="F104" s="14">
        <f t="shared" si="7"/>
        <v>3915</v>
      </c>
      <c r="G104" s="19">
        <f t="shared" si="8"/>
        <v>73787</v>
      </c>
    </row>
    <row r="105">
      <c r="A105" s="12">
        <v>17.0</v>
      </c>
      <c r="B105" s="12" t="s">
        <v>214</v>
      </c>
      <c r="C105" s="13" t="s">
        <v>333</v>
      </c>
      <c r="D105" s="14">
        <v>4111.0</v>
      </c>
      <c r="E105" s="16"/>
      <c r="F105" s="14">
        <f t="shared" si="7"/>
        <v>4111</v>
      </c>
      <c r="G105" s="19">
        <f t="shared" si="8"/>
        <v>77898</v>
      </c>
    </row>
    <row r="106">
      <c r="A106" s="12">
        <v>18.0</v>
      </c>
      <c r="B106" s="12" t="s">
        <v>214</v>
      </c>
      <c r="C106" s="13" t="s">
        <v>333</v>
      </c>
      <c r="D106" s="14">
        <v>4316.0</v>
      </c>
      <c r="E106" s="16"/>
      <c r="F106" s="14">
        <f t="shared" si="7"/>
        <v>4316</v>
      </c>
      <c r="G106" s="19">
        <f t="shared" si="8"/>
        <v>82214</v>
      </c>
    </row>
    <row r="107">
      <c r="A107" s="12">
        <v>19.0</v>
      </c>
      <c r="B107" s="12" t="s">
        <v>230</v>
      </c>
      <c r="C107" s="13" t="s">
        <v>701</v>
      </c>
      <c r="D107" s="14">
        <v>5784.0</v>
      </c>
      <c r="E107" s="16"/>
      <c r="F107" s="14">
        <f t="shared" si="7"/>
        <v>5784</v>
      </c>
      <c r="G107" s="19">
        <f t="shared" si="8"/>
        <v>87998</v>
      </c>
    </row>
    <row r="108">
      <c r="A108" s="12">
        <v>20.0</v>
      </c>
      <c r="B108" s="12" t="s">
        <v>230</v>
      </c>
      <c r="C108" s="13" t="s">
        <v>621</v>
      </c>
      <c r="D108" s="14">
        <v>6073.0</v>
      </c>
      <c r="E108" s="14">
        <v>6073.0</v>
      </c>
      <c r="F108" s="14">
        <f t="shared" si="7"/>
        <v>12146</v>
      </c>
      <c r="G108" s="19">
        <f t="shared" si="8"/>
        <v>100144</v>
      </c>
    </row>
    <row r="109">
      <c r="A109" s="12">
        <v>21.0</v>
      </c>
      <c r="B109" s="12" t="s">
        <v>232</v>
      </c>
      <c r="C109" s="13" t="s">
        <v>702</v>
      </c>
      <c r="D109" s="14">
        <v>19786.0</v>
      </c>
      <c r="E109" s="16"/>
      <c r="F109" s="14">
        <f t="shared" si="7"/>
        <v>19786</v>
      </c>
      <c r="G109" s="19">
        <f t="shared" si="8"/>
        <v>119930</v>
      </c>
    </row>
    <row r="110">
      <c r="A110" s="12">
        <v>22.0</v>
      </c>
      <c r="B110" s="12" t="s">
        <v>234</v>
      </c>
      <c r="C110" s="13" t="s">
        <v>628</v>
      </c>
      <c r="D110" s="14">
        <v>3729.0</v>
      </c>
      <c r="E110" s="16"/>
      <c r="F110" s="14">
        <f t="shared" si="7"/>
        <v>3729</v>
      </c>
      <c r="G110" s="19">
        <f t="shared" si="8"/>
        <v>123659</v>
      </c>
    </row>
    <row r="111">
      <c r="A111" s="12">
        <v>23.0</v>
      </c>
      <c r="B111" s="12" t="s">
        <v>234</v>
      </c>
      <c r="C111" s="13" t="s">
        <v>628</v>
      </c>
      <c r="D111" s="14">
        <v>3915.0</v>
      </c>
      <c r="E111" s="16"/>
      <c r="F111" s="14">
        <f t="shared" si="7"/>
        <v>3915</v>
      </c>
      <c r="G111" s="19">
        <f t="shared" si="8"/>
        <v>127574</v>
      </c>
    </row>
    <row r="112">
      <c r="A112" s="12">
        <v>24.0</v>
      </c>
      <c r="B112" s="12" t="s">
        <v>226</v>
      </c>
      <c r="C112" s="13" t="s">
        <v>338</v>
      </c>
      <c r="D112" s="14">
        <v>4111.0</v>
      </c>
      <c r="E112" s="16"/>
      <c r="F112" s="14">
        <f t="shared" si="7"/>
        <v>4111</v>
      </c>
      <c r="G112" s="19">
        <f t="shared" si="8"/>
        <v>131685</v>
      </c>
    </row>
    <row r="113">
      <c r="A113" s="12">
        <v>25.0</v>
      </c>
      <c r="B113" s="12" t="s">
        <v>226</v>
      </c>
      <c r="C113" s="13" t="s">
        <v>338</v>
      </c>
      <c r="D113" s="14">
        <v>4316.0</v>
      </c>
      <c r="E113" s="16"/>
      <c r="F113" s="14">
        <f t="shared" si="7"/>
        <v>4316</v>
      </c>
      <c r="G113" s="19">
        <f t="shared" si="8"/>
        <v>136001</v>
      </c>
    </row>
    <row r="114">
      <c r="A114" s="12">
        <v>26.0</v>
      </c>
      <c r="B114" s="12" t="s">
        <v>237</v>
      </c>
      <c r="C114" s="13" t="s">
        <v>626</v>
      </c>
      <c r="D114" s="14">
        <v>3729.0</v>
      </c>
      <c r="E114" s="16"/>
      <c r="F114" s="14">
        <f t="shared" si="7"/>
        <v>3729</v>
      </c>
      <c r="G114" s="19">
        <f t="shared" si="8"/>
        <v>139730</v>
      </c>
    </row>
    <row r="115">
      <c r="A115" s="12">
        <v>27.0</v>
      </c>
      <c r="B115" s="12" t="s">
        <v>237</v>
      </c>
      <c r="C115" s="13" t="s">
        <v>626</v>
      </c>
      <c r="D115" s="14">
        <v>3915.0</v>
      </c>
      <c r="E115" s="16"/>
      <c r="F115" s="14">
        <f t="shared" si="7"/>
        <v>3915</v>
      </c>
      <c r="G115" s="19">
        <f t="shared" si="8"/>
        <v>143645</v>
      </c>
    </row>
    <row r="116">
      <c r="A116" s="12">
        <v>28.0</v>
      </c>
      <c r="B116" s="12" t="s">
        <v>242</v>
      </c>
      <c r="C116" s="13" t="s">
        <v>340</v>
      </c>
      <c r="D116" s="14">
        <v>4111.0</v>
      </c>
      <c r="E116" s="16"/>
      <c r="F116" s="14">
        <f t="shared" si="7"/>
        <v>4111</v>
      </c>
      <c r="G116" s="19">
        <f t="shared" si="8"/>
        <v>147756</v>
      </c>
    </row>
    <row r="117">
      <c r="A117" s="12">
        <v>29.0</v>
      </c>
      <c r="B117" s="12" t="s">
        <v>242</v>
      </c>
      <c r="C117" s="13" t="s">
        <v>340</v>
      </c>
      <c r="D117" s="14">
        <v>4316.0</v>
      </c>
      <c r="E117" s="16"/>
      <c r="F117" s="14">
        <f t="shared" si="7"/>
        <v>4316</v>
      </c>
      <c r="G117" s="19">
        <f t="shared" si="8"/>
        <v>152072</v>
      </c>
    </row>
    <row r="118">
      <c r="A118" s="12">
        <v>30.0</v>
      </c>
      <c r="B118" s="12" t="s">
        <v>244</v>
      </c>
      <c r="C118" s="13" t="s">
        <v>703</v>
      </c>
      <c r="D118" s="14">
        <v>5784.0</v>
      </c>
      <c r="E118" s="16"/>
      <c r="F118" s="14">
        <f t="shared" si="7"/>
        <v>5784</v>
      </c>
      <c r="G118" s="19">
        <f t="shared" si="8"/>
        <v>157856</v>
      </c>
    </row>
    <row r="119">
      <c r="A119" s="12">
        <v>31.0</v>
      </c>
      <c r="B119" s="12" t="s">
        <v>244</v>
      </c>
      <c r="C119" s="13" t="s">
        <v>631</v>
      </c>
      <c r="D119" s="14">
        <v>6073.0</v>
      </c>
      <c r="E119" s="14">
        <v>6073.0</v>
      </c>
      <c r="F119" s="14">
        <f t="shared" si="7"/>
        <v>12146</v>
      </c>
      <c r="G119" s="19">
        <f t="shared" si="8"/>
        <v>170002</v>
      </c>
    </row>
    <row r="120">
      <c r="A120" s="24"/>
      <c r="B120" s="24"/>
      <c r="C120" s="26"/>
      <c r="D120" s="27">
        <v>34.0</v>
      </c>
      <c r="E120" s="28"/>
      <c r="F120" s="27">
        <f>SUM(F89:F119)</f>
        <v>170002</v>
      </c>
      <c r="G120" s="29">
        <f>G119</f>
        <v>170002</v>
      </c>
    </row>
  </sheetData>
  <mergeCells count="4">
    <mergeCell ref="A1:G2"/>
    <mergeCell ref="A22:G23"/>
    <mergeCell ref="A47:G48"/>
    <mergeCell ref="A86:G87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0.29"/>
    <col customWidth="1" min="3" max="3" width="60.29"/>
    <col customWidth="1" min="4" max="5" width="7.14"/>
    <col customWidth="1" min="6" max="6" width="8.0"/>
    <col customWidth="1" min="7" max="7" width="8.57"/>
  </cols>
  <sheetData>
    <row r="1">
      <c r="A1" s="4" t="s">
        <v>296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28</v>
      </c>
      <c r="C4" s="13" t="s">
        <v>670</v>
      </c>
      <c r="D4" s="14">
        <v>1580.0</v>
      </c>
      <c r="E4" s="16"/>
      <c r="F4" s="14">
        <f t="shared" ref="F4:F19" si="1">SUM(D4:E4)</f>
        <v>1580</v>
      </c>
      <c r="G4" s="19">
        <f>F4</f>
        <v>1580</v>
      </c>
    </row>
    <row r="5">
      <c r="A5" s="12">
        <v>2.0</v>
      </c>
      <c r="B5" s="12" t="s">
        <v>12</v>
      </c>
      <c r="C5" s="13" t="s">
        <v>518</v>
      </c>
      <c r="D5" s="14">
        <v>1299.0</v>
      </c>
      <c r="E5" s="16"/>
      <c r="F5" s="14">
        <f t="shared" si="1"/>
        <v>1299</v>
      </c>
      <c r="G5" s="19">
        <f t="shared" ref="G5:G19" si="2">G4+F5</f>
        <v>2879</v>
      </c>
    </row>
    <row r="6">
      <c r="A6" s="12">
        <v>3.0</v>
      </c>
      <c r="B6" s="12" t="s">
        <v>12</v>
      </c>
      <c r="C6" s="13" t="s">
        <v>518</v>
      </c>
      <c r="D6" s="14">
        <v>1364.0</v>
      </c>
      <c r="E6" s="16"/>
      <c r="F6" s="14">
        <f t="shared" si="1"/>
        <v>1364</v>
      </c>
      <c r="G6" s="19">
        <f t="shared" si="2"/>
        <v>4243</v>
      </c>
    </row>
    <row r="7">
      <c r="A7" s="12">
        <v>4.0</v>
      </c>
      <c r="B7" s="12" t="s">
        <v>22</v>
      </c>
      <c r="C7" s="13" t="s">
        <v>363</v>
      </c>
      <c r="D7" s="14">
        <v>1829.0</v>
      </c>
      <c r="E7" s="14">
        <v>1829.0</v>
      </c>
      <c r="F7" s="14">
        <f t="shared" si="1"/>
        <v>3658</v>
      </c>
      <c r="G7" s="19">
        <f t="shared" si="2"/>
        <v>7901</v>
      </c>
    </row>
    <row r="8">
      <c r="A8" s="12">
        <v>5.0</v>
      </c>
      <c r="B8" s="12" t="s">
        <v>12</v>
      </c>
      <c r="C8" s="13" t="s">
        <v>518</v>
      </c>
      <c r="D8" s="14">
        <v>1433.0</v>
      </c>
      <c r="E8" s="16"/>
      <c r="F8" s="14">
        <f t="shared" si="1"/>
        <v>1433</v>
      </c>
      <c r="G8" s="19">
        <f t="shared" si="2"/>
        <v>9334</v>
      </c>
    </row>
    <row r="9">
      <c r="A9" s="12">
        <v>6.0</v>
      </c>
      <c r="B9" s="12" t="s">
        <v>12</v>
      </c>
      <c r="C9" s="13" t="s">
        <v>518</v>
      </c>
      <c r="D9" s="14">
        <v>1504.0</v>
      </c>
      <c r="E9" s="16"/>
      <c r="F9" s="14">
        <f t="shared" si="1"/>
        <v>1504</v>
      </c>
      <c r="G9" s="19">
        <f t="shared" si="2"/>
        <v>10838</v>
      </c>
    </row>
    <row r="10">
      <c r="A10" s="12">
        <v>7.0</v>
      </c>
      <c r="B10" s="12" t="s">
        <v>12</v>
      </c>
      <c r="C10" s="13" t="s">
        <v>518</v>
      </c>
      <c r="D10" s="14">
        <v>1580.0</v>
      </c>
      <c r="E10" s="16"/>
      <c r="F10" s="14">
        <f t="shared" si="1"/>
        <v>1580</v>
      </c>
      <c r="G10" s="19">
        <f t="shared" si="2"/>
        <v>12418</v>
      </c>
    </row>
    <row r="11">
      <c r="A11" s="12">
        <v>8.0</v>
      </c>
      <c r="B11" s="12" t="s">
        <v>25</v>
      </c>
      <c r="C11" s="13" t="s">
        <v>508</v>
      </c>
      <c r="D11" s="14">
        <v>1299.0</v>
      </c>
      <c r="E11" s="16"/>
      <c r="F11" s="14">
        <f t="shared" si="1"/>
        <v>1299</v>
      </c>
      <c r="G11" s="19">
        <f t="shared" si="2"/>
        <v>13717</v>
      </c>
    </row>
    <row r="12">
      <c r="A12" s="12">
        <v>9.0</v>
      </c>
      <c r="B12" s="12" t="s">
        <v>22</v>
      </c>
      <c r="C12" s="13" t="s">
        <v>363</v>
      </c>
      <c r="D12" s="14">
        <v>1741.0</v>
      </c>
      <c r="E12" s="14">
        <v>1741.0</v>
      </c>
      <c r="F12" s="14">
        <f t="shared" si="1"/>
        <v>3482</v>
      </c>
      <c r="G12" s="19">
        <f t="shared" si="2"/>
        <v>17199</v>
      </c>
    </row>
    <row r="13">
      <c r="A13" s="12">
        <v>10.0</v>
      </c>
      <c r="B13" s="12" t="s">
        <v>25</v>
      </c>
      <c r="C13" s="13" t="s">
        <v>508</v>
      </c>
      <c r="D13" s="14">
        <v>1364.0</v>
      </c>
      <c r="E13" s="16"/>
      <c r="F13" s="14">
        <f t="shared" si="1"/>
        <v>1364</v>
      </c>
      <c r="G13" s="19">
        <f t="shared" si="2"/>
        <v>18563</v>
      </c>
    </row>
    <row r="14">
      <c r="A14" s="12">
        <v>11.0</v>
      </c>
      <c r="B14" s="12" t="s">
        <v>25</v>
      </c>
      <c r="C14" s="13" t="s">
        <v>508</v>
      </c>
      <c r="D14" s="14">
        <v>1433.0</v>
      </c>
      <c r="E14" s="16"/>
      <c r="F14" s="14">
        <f t="shared" si="1"/>
        <v>1433</v>
      </c>
      <c r="G14" s="19">
        <f t="shared" si="2"/>
        <v>19996</v>
      </c>
    </row>
    <row r="15">
      <c r="A15" s="12">
        <v>12.0</v>
      </c>
      <c r="B15" s="12" t="s">
        <v>22</v>
      </c>
      <c r="C15" s="13" t="s">
        <v>363</v>
      </c>
      <c r="D15" s="14">
        <v>1829.0</v>
      </c>
      <c r="E15" s="14">
        <v>1829.0</v>
      </c>
      <c r="F15" s="14">
        <f t="shared" si="1"/>
        <v>3658</v>
      </c>
      <c r="G15" s="19">
        <f t="shared" si="2"/>
        <v>23654</v>
      </c>
    </row>
    <row r="16">
      <c r="A16" s="12">
        <v>13.0</v>
      </c>
      <c r="B16" s="12" t="s">
        <v>25</v>
      </c>
      <c r="C16" s="13" t="s">
        <v>508</v>
      </c>
      <c r="D16" s="14">
        <v>1504.0</v>
      </c>
      <c r="E16" s="16"/>
      <c r="F16" s="14">
        <f t="shared" si="1"/>
        <v>1504</v>
      </c>
      <c r="G16" s="19">
        <f t="shared" si="2"/>
        <v>25158</v>
      </c>
    </row>
    <row r="17">
      <c r="A17" s="12">
        <v>14.0</v>
      </c>
      <c r="B17" s="12" t="s">
        <v>25</v>
      </c>
      <c r="C17" s="13" t="s">
        <v>508</v>
      </c>
      <c r="D17" s="14">
        <v>1580.0</v>
      </c>
      <c r="E17" s="16"/>
      <c r="F17" s="14">
        <f t="shared" si="1"/>
        <v>1580</v>
      </c>
      <c r="G17" s="19">
        <f t="shared" si="2"/>
        <v>26738</v>
      </c>
    </row>
    <row r="18">
      <c r="A18" s="12">
        <v>15.0</v>
      </c>
      <c r="B18" s="12" t="s">
        <v>28</v>
      </c>
      <c r="C18" s="13" t="s">
        <v>34</v>
      </c>
      <c r="D18" s="14">
        <v>2117.0</v>
      </c>
      <c r="E18" s="16"/>
      <c r="F18" s="14">
        <f t="shared" si="1"/>
        <v>2117</v>
      </c>
      <c r="G18" s="19">
        <f t="shared" si="2"/>
        <v>28855</v>
      </c>
    </row>
    <row r="19">
      <c r="A19" s="12">
        <v>16.0</v>
      </c>
      <c r="B19" s="12" t="s">
        <v>138</v>
      </c>
      <c r="C19" s="13" t="s">
        <v>156</v>
      </c>
      <c r="D19" s="14">
        <v>5146.0</v>
      </c>
      <c r="E19" s="16"/>
      <c r="F19" s="14">
        <f t="shared" si="1"/>
        <v>5146</v>
      </c>
      <c r="G19" s="19">
        <f t="shared" si="2"/>
        <v>34001</v>
      </c>
    </row>
    <row r="20">
      <c r="A20" s="24"/>
      <c r="B20" s="24"/>
      <c r="C20" s="26"/>
      <c r="D20" s="27">
        <v>19.0</v>
      </c>
      <c r="E20" s="28"/>
      <c r="F20" s="27">
        <f>SUM(F4:F19)</f>
        <v>34001</v>
      </c>
      <c r="G20" s="29">
        <f>G19</f>
        <v>34001</v>
      </c>
    </row>
    <row r="21">
      <c r="C21" s="30"/>
      <c r="G21" s="30"/>
    </row>
    <row r="22">
      <c r="A22" s="4" t="s">
        <v>673</v>
      </c>
      <c r="B22" s="5"/>
      <c r="C22" s="5"/>
      <c r="D22" s="5"/>
      <c r="E22" s="5"/>
      <c r="F22" s="5"/>
      <c r="G22" s="6"/>
    </row>
    <row r="23">
      <c r="A23" s="7"/>
      <c r="B23" s="8"/>
      <c r="C23" s="8"/>
      <c r="D23" s="8"/>
      <c r="E23" s="8"/>
      <c r="F23" s="8"/>
      <c r="G23" s="9"/>
    </row>
    <row r="24">
      <c r="A24" s="10"/>
      <c r="B24" s="10" t="s">
        <v>6</v>
      </c>
      <c r="C24" s="11" t="s">
        <v>7</v>
      </c>
      <c r="D24" s="10" t="s">
        <v>8</v>
      </c>
      <c r="E24" s="10" t="s">
        <v>9</v>
      </c>
      <c r="F24" s="10" t="s">
        <v>10</v>
      </c>
      <c r="G24" s="11" t="s">
        <v>11</v>
      </c>
    </row>
    <row r="25">
      <c r="A25" s="12">
        <v>1.0</v>
      </c>
      <c r="B25" s="12" t="s">
        <v>153</v>
      </c>
      <c r="C25" s="13" t="s">
        <v>674</v>
      </c>
      <c r="D25" s="14">
        <v>1790.0</v>
      </c>
      <c r="E25" s="16"/>
      <c r="F25" s="14">
        <f t="shared" ref="F25:F44" si="3">SUM(D25:E25)</f>
        <v>1790</v>
      </c>
      <c r="G25" s="19">
        <f>F25</f>
        <v>1790</v>
      </c>
    </row>
    <row r="26">
      <c r="A26" s="12">
        <v>2.0</v>
      </c>
      <c r="B26" s="12" t="s">
        <v>93</v>
      </c>
      <c r="C26" s="13" t="s">
        <v>136</v>
      </c>
      <c r="D26" s="14">
        <v>1473.0</v>
      </c>
      <c r="E26" s="16"/>
      <c r="F26" s="14">
        <f t="shared" si="3"/>
        <v>1473</v>
      </c>
      <c r="G26" s="19">
        <f t="shared" ref="G26:G44" si="4">G25+F26</f>
        <v>3263</v>
      </c>
    </row>
    <row r="27">
      <c r="A27" s="12">
        <v>3.0</v>
      </c>
      <c r="B27" s="12" t="s">
        <v>93</v>
      </c>
      <c r="C27" s="13" t="s">
        <v>490</v>
      </c>
      <c r="D27" s="14">
        <v>1546.0</v>
      </c>
      <c r="E27" s="16"/>
      <c r="F27" s="14">
        <f t="shared" si="3"/>
        <v>1546</v>
      </c>
      <c r="G27" s="19">
        <f t="shared" si="4"/>
        <v>4809</v>
      </c>
    </row>
    <row r="28">
      <c r="A28" s="12">
        <v>4.0</v>
      </c>
      <c r="B28" s="12" t="s">
        <v>93</v>
      </c>
      <c r="C28" s="13" t="s">
        <v>490</v>
      </c>
      <c r="D28" s="14">
        <v>1624.0</v>
      </c>
      <c r="E28" s="16"/>
      <c r="F28" s="14">
        <f t="shared" si="3"/>
        <v>1624</v>
      </c>
      <c r="G28" s="19">
        <f t="shared" si="4"/>
        <v>6433</v>
      </c>
    </row>
    <row r="29">
      <c r="A29" s="12">
        <v>5.0</v>
      </c>
      <c r="B29" s="12" t="s">
        <v>153</v>
      </c>
      <c r="C29" s="13" t="s">
        <v>414</v>
      </c>
      <c r="D29" s="14">
        <v>2176.0</v>
      </c>
      <c r="E29" s="14">
        <v>2176.0</v>
      </c>
      <c r="F29" s="14">
        <f t="shared" si="3"/>
        <v>4352</v>
      </c>
      <c r="G29" s="19">
        <f t="shared" si="4"/>
        <v>10785</v>
      </c>
    </row>
    <row r="30">
      <c r="A30" s="12">
        <v>6.0</v>
      </c>
      <c r="B30" s="12" t="s">
        <v>151</v>
      </c>
      <c r="C30" s="13" t="s">
        <v>534</v>
      </c>
      <c r="D30" s="14">
        <v>1790.0</v>
      </c>
      <c r="E30" s="16"/>
      <c r="F30" s="14">
        <f t="shared" si="3"/>
        <v>1790</v>
      </c>
      <c r="G30" s="19">
        <f t="shared" si="4"/>
        <v>12575</v>
      </c>
    </row>
    <row r="31">
      <c r="A31" s="12">
        <v>7.0</v>
      </c>
      <c r="B31" s="12" t="s">
        <v>151</v>
      </c>
      <c r="C31" s="13" t="s">
        <v>534</v>
      </c>
      <c r="D31" s="14">
        <v>1880.0</v>
      </c>
      <c r="E31" s="16"/>
      <c r="F31" s="14">
        <f t="shared" si="3"/>
        <v>1880</v>
      </c>
      <c r="G31" s="19">
        <f t="shared" si="4"/>
        <v>14455</v>
      </c>
    </row>
    <row r="32">
      <c r="A32" s="12">
        <v>8.0</v>
      </c>
      <c r="B32" s="12" t="s">
        <v>151</v>
      </c>
      <c r="C32" s="13" t="s">
        <v>534</v>
      </c>
      <c r="D32" s="14">
        <v>1973.0</v>
      </c>
      <c r="E32" s="16"/>
      <c r="F32" s="14">
        <f t="shared" si="3"/>
        <v>1973</v>
      </c>
      <c r="G32" s="19">
        <f t="shared" si="4"/>
        <v>16428</v>
      </c>
    </row>
    <row r="33">
      <c r="A33" s="12">
        <v>9.0</v>
      </c>
      <c r="B33" s="12" t="s">
        <v>151</v>
      </c>
      <c r="C33" s="13" t="s">
        <v>534</v>
      </c>
      <c r="D33" s="14">
        <v>2072.0</v>
      </c>
      <c r="E33" s="16"/>
      <c r="F33" s="14">
        <f t="shared" si="3"/>
        <v>2072</v>
      </c>
      <c r="G33" s="19">
        <f t="shared" si="4"/>
        <v>18500</v>
      </c>
    </row>
    <row r="34">
      <c r="A34" s="12">
        <v>10.0</v>
      </c>
      <c r="B34" s="12" t="s">
        <v>157</v>
      </c>
      <c r="C34" s="13" t="s">
        <v>677</v>
      </c>
      <c r="D34" s="14">
        <v>2176.0</v>
      </c>
      <c r="E34" s="14">
        <v>2176.0</v>
      </c>
      <c r="F34" s="14">
        <f t="shared" si="3"/>
        <v>4352</v>
      </c>
      <c r="G34" s="19">
        <f t="shared" si="4"/>
        <v>22852</v>
      </c>
    </row>
    <row r="35">
      <c r="A35" s="12">
        <v>11.0</v>
      </c>
      <c r="B35" s="12" t="s">
        <v>99</v>
      </c>
      <c r="C35" s="13" t="s">
        <v>137</v>
      </c>
      <c r="D35" s="14">
        <v>1473.0</v>
      </c>
      <c r="E35" s="16"/>
      <c r="F35" s="14">
        <f t="shared" si="3"/>
        <v>1473</v>
      </c>
      <c r="G35" s="19">
        <f t="shared" si="4"/>
        <v>24325</v>
      </c>
    </row>
    <row r="36">
      <c r="A36" s="12">
        <v>12.0</v>
      </c>
      <c r="B36" s="12" t="s">
        <v>99</v>
      </c>
      <c r="C36" s="13" t="s">
        <v>494</v>
      </c>
      <c r="D36" s="14">
        <v>1546.0</v>
      </c>
      <c r="E36" s="16"/>
      <c r="F36" s="14">
        <f t="shared" si="3"/>
        <v>1546</v>
      </c>
      <c r="G36" s="19">
        <f t="shared" si="4"/>
        <v>25871</v>
      </c>
    </row>
    <row r="37">
      <c r="A37" s="12">
        <v>13.0</v>
      </c>
      <c r="B37" s="12" t="s">
        <v>99</v>
      </c>
      <c r="C37" s="13" t="s">
        <v>494</v>
      </c>
      <c r="D37" s="14">
        <v>1624.0</v>
      </c>
      <c r="E37" s="16"/>
      <c r="F37" s="14">
        <f t="shared" si="3"/>
        <v>1624</v>
      </c>
      <c r="G37" s="19">
        <f t="shared" si="4"/>
        <v>27495</v>
      </c>
    </row>
    <row r="38">
      <c r="A38" s="12">
        <v>14.0</v>
      </c>
      <c r="B38" s="12" t="s">
        <v>153</v>
      </c>
      <c r="C38" s="13" t="s">
        <v>414</v>
      </c>
      <c r="D38" s="14">
        <v>2176.0</v>
      </c>
      <c r="E38" s="14">
        <v>2176.0</v>
      </c>
      <c r="F38" s="14">
        <f t="shared" si="3"/>
        <v>4352</v>
      </c>
      <c r="G38" s="19">
        <f t="shared" si="4"/>
        <v>31847</v>
      </c>
    </row>
    <row r="39">
      <c r="A39" s="12">
        <v>15.0</v>
      </c>
      <c r="B39" s="12" t="s">
        <v>148</v>
      </c>
      <c r="C39" s="13" t="s">
        <v>531</v>
      </c>
      <c r="D39" s="14">
        <v>1790.0</v>
      </c>
      <c r="E39" s="16"/>
      <c r="F39" s="14">
        <f t="shared" si="3"/>
        <v>1790</v>
      </c>
      <c r="G39" s="19">
        <f t="shared" si="4"/>
        <v>33637</v>
      </c>
    </row>
    <row r="40">
      <c r="A40" s="12">
        <v>16.0</v>
      </c>
      <c r="B40" s="12" t="s">
        <v>148</v>
      </c>
      <c r="C40" s="13" t="s">
        <v>531</v>
      </c>
      <c r="D40" s="14">
        <v>1880.0</v>
      </c>
      <c r="E40" s="16"/>
      <c r="F40" s="14">
        <f t="shared" si="3"/>
        <v>1880</v>
      </c>
      <c r="G40" s="19">
        <f t="shared" si="4"/>
        <v>35517</v>
      </c>
    </row>
    <row r="41">
      <c r="A41" s="12">
        <v>17.0</v>
      </c>
      <c r="B41" s="12" t="s">
        <v>148</v>
      </c>
      <c r="C41" s="13" t="s">
        <v>531</v>
      </c>
      <c r="D41" s="14">
        <v>1973.0</v>
      </c>
      <c r="E41" s="16"/>
      <c r="F41" s="14">
        <f t="shared" si="3"/>
        <v>1973</v>
      </c>
      <c r="G41" s="19">
        <f t="shared" si="4"/>
        <v>37490</v>
      </c>
    </row>
    <row r="42">
      <c r="A42" s="12">
        <v>18.0</v>
      </c>
      <c r="B42" s="12" t="s">
        <v>148</v>
      </c>
      <c r="C42" s="13" t="s">
        <v>531</v>
      </c>
      <c r="D42" s="14">
        <v>2072.0</v>
      </c>
      <c r="E42" s="16"/>
      <c r="F42" s="14">
        <f t="shared" si="3"/>
        <v>2072</v>
      </c>
      <c r="G42" s="19">
        <f t="shared" si="4"/>
        <v>39562</v>
      </c>
    </row>
    <row r="43">
      <c r="A43" s="12">
        <v>19.0</v>
      </c>
      <c r="B43" s="12" t="s">
        <v>160</v>
      </c>
      <c r="C43" s="13" t="s">
        <v>680</v>
      </c>
      <c r="D43" s="14">
        <v>2176.0</v>
      </c>
      <c r="E43" s="14">
        <v>2176.0</v>
      </c>
      <c r="F43" s="14">
        <f t="shared" si="3"/>
        <v>4352</v>
      </c>
      <c r="G43" s="19">
        <f t="shared" si="4"/>
        <v>43914</v>
      </c>
    </row>
    <row r="44">
      <c r="A44" s="12">
        <v>20.0</v>
      </c>
      <c r="B44" s="12" t="s">
        <v>165</v>
      </c>
      <c r="C44" s="13" t="s">
        <v>183</v>
      </c>
      <c r="D44" s="14">
        <v>7088.0</v>
      </c>
      <c r="E44" s="16"/>
      <c r="F44" s="14">
        <f t="shared" si="3"/>
        <v>7088</v>
      </c>
      <c r="G44" s="19">
        <f t="shared" si="4"/>
        <v>51002</v>
      </c>
    </row>
    <row r="45">
      <c r="A45" s="24"/>
      <c r="B45" s="24"/>
      <c r="C45" s="26"/>
      <c r="D45" s="27">
        <v>24.0</v>
      </c>
      <c r="E45" s="28"/>
      <c r="F45" s="27">
        <f>SUM(F25:F44)</f>
        <v>51002</v>
      </c>
      <c r="G45" s="29">
        <f>G44</f>
        <v>51002</v>
      </c>
    </row>
    <row r="46">
      <c r="C46" s="30"/>
      <c r="G46" s="30"/>
    </row>
    <row r="47">
      <c r="A47" s="4" t="s">
        <v>682</v>
      </c>
      <c r="B47" s="5"/>
      <c r="C47" s="5"/>
      <c r="D47" s="5"/>
      <c r="E47" s="5"/>
      <c r="F47" s="5"/>
      <c r="G47" s="6"/>
    </row>
    <row r="48">
      <c r="A48" s="7"/>
      <c r="B48" s="8"/>
      <c r="C48" s="8"/>
      <c r="D48" s="8"/>
      <c r="E48" s="8"/>
      <c r="F48" s="8"/>
      <c r="G48" s="9"/>
    </row>
    <row r="49">
      <c r="A49" s="10"/>
      <c r="B49" s="10" t="s">
        <v>6</v>
      </c>
      <c r="C49" s="11" t="s">
        <v>7</v>
      </c>
      <c r="D49" s="10" t="s">
        <v>8</v>
      </c>
      <c r="E49" s="10" t="s">
        <v>9</v>
      </c>
      <c r="F49" s="10" t="s">
        <v>10</v>
      </c>
      <c r="G49" s="11" t="s">
        <v>11</v>
      </c>
    </row>
    <row r="50">
      <c r="A50" s="12">
        <v>1.0</v>
      </c>
      <c r="B50" s="12" t="s">
        <v>170</v>
      </c>
      <c r="C50" s="13" t="s">
        <v>192</v>
      </c>
      <c r="D50" s="14">
        <v>1768.0</v>
      </c>
      <c r="E50" s="16"/>
      <c r="F50" s="14">
        <f t="shared" ref="F50:F83" si="5">SUM(D50:E50)</f>
        <v>1768</v>
      </c>
      <c r="G50" s="19">
        <f>F50</f>
        <v>1768</v>
      </c>
    </row>
    <row r="51">
      <c r="A51" s="12">
        <v>2.0</v>
      </c>
      <c r="B51" s="12" t="s">
        <v>170</v>
      </c>
      <c r="C51" s="13" t="s">
        <v>192</v>
      </c>
      <c r="D51" s="14">
        <v>1856.0</v>
      </c>
      <c r="E51" s="16"/>
      <c r="F51" s="14">
        <f t="shared" si="5"/>
        <v>1856</v>
      </c>
      <c r="G51" s="19">
        <f t="shared" ref="G51:G83" si="6">G50+F51</f>
        <v>3624</v>
      </c>
    </row>
    <row r="52">
      <c r="A52" s="12">
        <v>3.0</v>
      </c>
      <c r="B52" s="12" t="s">
        <v>170</v>
      </c>
      <c r="C52" s="13" t="s">
        <v>192</v>
      </c>
      <c r="D52" s="14">
        <v>1949.0</v>
      </c>
      <c r="E52" s="16"/>
      <c r="F52" s="14">
        <f t="shared" si="5"/>
        <v>1949</v>
      </c>
      <c r="G52" s="19">
        <f t="shared" si="6"/>
        <v>5573</v>
      </c>
    </row>
    <row r="53">
      <c r="A53" s="12">
        <v>4.0</v>
      </c>
      <c r="B53" s="12" t="s">
        <v>170</v>
      </c>
      <c r="C53" s="13" t="s">
        <v>192</v>
      </c>
      <c r="D53" s="14">
        <v>2046.0</v>
      </c>
      <c r="E53" s="16"/>
      <c r="F53" s="14">
        <f t="shared" si="5"/>
        <v>2046</v>
      </c>
      <c r="G53" s="19">
        <f t="shared" si="6"/>
        <v>7619</v>
      </c>
    </row>
    <row r="54">
      <c r="A54" s="12">
        <v>5.0</v>
      </c>
      <c r="B54" s="12" t="s">
        <v>170</v>
      </c>
      <c r="C54" s="13" t="s">
        <v>192</v>
      </c>
      <c r="D54" s="14">
        <v>2148.0</v>
      </c>
      <c r="E54" s="16"/>
      <c r="F54" s="14">
        <f t="shared" si="5"/>
        <v>2148</v>
      </c>
      <c r="G54" s="19">
        <f t="shared" si="6"/>
        <v>9767</v>
      </c>
    </row>
    <row r="55">
      <c r="A55" s="12">
        <v>6.0</v>
      </c>
      <c r="B55" s="12" t="s">
        <v>170</v>
      </c>
      <c r="C55" s="13" t="s">
        <v>192</v>
      </c>
      <c r="D55" s="14">
        <v>2256.0</v>
      </c>
      <c r="E55" s="16"/>
      <c r="F55" s="14">
        <f t="shared" si="5"/>
        <v>2256</v>
      </c>
      <c r="G55" s="19">
        <f t="shared" si="6"/>
        <v>12023</v>
      </c>
    </row>
    <row r="56">
      <c r="A56" s="12">
        <v>7.0</v>
      </c>
      <c r="B56" s="12" t="s">
        <v>170</v>
      </c>
      <c r="C56" s="13" t="s">
        <v>192</v>
      </c>
      <c r="D56" s="14">
        <v>2369.0</v>
      </c>
      <c r="E56" s="16"/>
      <c r="F56" s="14">
        <f t="shared" si="5"/>
        <v>2369</v>
      </c>
      <c r="G56" s="19">
        <f t="shared" si="6"/>
        <v>14392</v>
      </c>
    </row>
    <row r="57">
      <c r="A57" s="12">
        <v>8.0</v>
      </c>
      <c r="B57" s="12" t="s">
        <v>173</v>
      </c>
      <c r="C57" s="13" t="s">
        <v>683</v>
      </c>
      <c r="D57" s="14">
        <v>2487.0</v>
      </c>
      <c r="E57" s="14">
        <v>2487.0</v>
      </c>
      <c r="F57" s="14">
        <f t="shared" si="5"/>
        <v>4974</v>
      </c>
      <c r="G57" s="19">
        <f t="shared" si="6"/>
        <v>19366</v>
      </c>
    </row>
    <row r="58">
      <c r="A58" s="12">
        <v>9.0</v>
      </c>
      <c r="B58" s="12" t="s">
        <v>104</v>
      </c>
      <c r="C58" s="13" t="s">
        <v>132</v>
      </c>
      <c r="D58" s="14">
        <v>1768.0</v>
      </c>
      <c r="E58" s="16"/>
      <c r="F58" s="14">
        <f t="shared" si="5"/>
        <v>1768</v>
      </c>
      <c r="G58" s="19">
        <f t="shared" si="6"/>
        <v>21134</v>
      </c>
    </row>
    <row r="59">
      <c r="A59" s="12">
        <v>10.0</v>
      </c>
      <c r="B59" s="12" t="s">
        <v>104</v>
      </c>
      <c r="C59" s="13" t="s">
        <v>132</v>
      </c>
      <c r="D59" s="14">
        <v>1856.0</v>
      </c>
      <c r="E59" s="16"/>
      <c r="F59" s="14">
        <f t="shared" si="5"/>
        <v>1856</v>
      </c>
      <c r="G59" s="19">
        <f t="shared" si="6"/>
        <v>22990</v>
      </c>
    </row>
    <row r="60">
      <c r="A60" s="12">
        <v>11.0</v>
      </c>
      <c r="B60" s="12" t="s">
        <v>104</v>
      </c>
      <c r="C60" s="13" t="s">
        <v>132</v>
      </c>
      <c r="D60" s="14">
        <v>2611.0</v>
      </c>
      <c r="E60" s="16"/>
      <c r="F60" s="14">
        <f t="shared" si="5"/>
        <v>2611</v>
      </c>
      <c r="G60" s="19">
        <f t="shared" si="6"/>
        <v>25601</v>
      </c>
    </row>
    <row r="61">
      <c r="A61" s="12">
        <v>12.0</v>
      </c>
      <c r="B61" s="12" t="s">
        <v>170</v>
      </c>
      <c r="C61" s="13" t="s">
        <v>192</v>
      </c>
      <c r="D61" s="14">
        <v>1768.0</v>
      </c>
      <c r="E61" s="16"/>
      <c r="F61" s="14">
        <f t="shared" si="5"/>
        <v>1768</v>
      </c>
      <c r="G61" s="19">
        <f t="shared" si="6"/>
        <v>27369</v>
      </c>
    </row>
    <row r="62">
      <c r="A62" s="12">
        <v>13.0</v>
      </c>
      <c r="B62" s="12" t="s">
        <v>170</v>
      </c>
      <c r="C62" s="13" t="s">
        <v>192</v>
      </c>
      <c r="D62" s="14">
        <v>1856.0</v>
      </c>
      <c r="E62" s="16"/>
      <c r="F62" s="14">
        <f t="shared" si="5"/>
        <v>1856</v>
      </c>
      <c r="G62" s="19">
        <f t="shared" si="6"/>
        <v>29225</v>
      </c>
    </row>
    <row r="63">
      <c r="A63" s="12">
        <v>14.0</v>
      </c>
      <c r="B63" s="12" t="s">
        <v>170</v>
      </c>
      <c r="C63" s="13" t="s">
        <v>192</v>
      </c>
      <c r="D63" s="14">
        <v>1949.0</v>
      </c>
      <c r="E63" s="16"/>
      <c r="F63" s="14">
        <f t="shared" si="5"/>
        <v>1949</v>
      </c>
      <c r="G63" s="19">
        <f t="shared" si="6"/>
        <v>31174</v>
      </c>
    </row>
    <row r="64">
      <c r="A64" s="12">
        <v>15.0</v>
      </c>
      <c r="B64" s="12" t="s">
        <v>170</v>
      </c>
      <c r="C64" s="13" t="s">
        <v>192</v>
      </c>
      <c r="D64" s="14">
        <v>2046.0</v>
      </c>
      <c r="E64" s="16"/>
      <c r="F64" s="14">
        <f t="shared" si="5"/>
        <v>2046</v>
      </c>
      <c r="G64" s="19">
        <f t="shared" si="6"/>
        <v>33220</v>
      </c>
    </row>
    <row r="65">
      <c r="A65" s="12">
        <v>16.0</v>
      </c>
      <c r="B65" s="12" t="s">
        <v>170</v>
      </c>
      <c r="C65" s="13" t="s">
        <v>192</v>
      </c>
      <c r="D65" s="14">
        <v>2148.0</v>
      </c>
      <c r="E65" s="16"/>
      <c r="F65" s="14">
        <f t="shared" si="5"/>
        <v>2148</v>
      </c>
      <c r="G65" s="19">
        <f t="shared" si="6"/>
        <v>35368</v>
      </c>
    </row>
    <row r="66">
      <c r="A66" s="12">
        <v>17.0</v>
      </c>
      <c r="B66" s="12" t="s">
        <v>67</v>
      </c>
      <c r="C66" s="13" t="s">
        <v>186</v>
      </c>
      <c r="D66" s="14">
        <v>1768.0</v>
      </c>
      <c r="E66" s="16"/>
      <c r="F66" s="14">
        <f t="shared" si="5"/>
        <v>1768</v>
      </c>
      <c r="G66" s="19">
        <f t="shared" si="6"/>
        <v>37136</v>
      </c>
    </row>
    <row r="67">
      <c r="A67" s="12">
        <v>18.0</v>
      </c>
      <c r="B67" s="12" t="s">
        <v>67</v>
      </c>
      <c r="C67" s="13" t="s">
        <v>186</v>
      </c>
      <c r="D67" s="14">
        <v>1856.0</v>
      </c>
      <c r="E67" s="16"/>
      <c r="F67" s="14">
        <f t="shared" si="5"/>
        <v>1856</v>
      </c>
      <c r="G67" s="19">
        <f t="shared" si="6"/>
        <v>38992</v>
      </c>
    </row>
    <row r="68">
      <c r="A68" s="12">
        <v>19.0</v>
      </c>
      <c r="B68" s="12" t="s">
        <v>67</v>
      </c>
      <c r="C68" s="13" t="s">
        <v>186</v>
      </c>
      <c r="D68" s="14">
        <v>1949.0</v>
      </c>
      <c r="E68" s="16"/>
      <c r="F68" s="14">
        <f t="shared" si="5"/>
        <v>1949</v>
      </c>
      <c r="G68" s="19">
        <f t="shared" si="6"/>
        <v>40941</v>
      </c>
    </row>
    <row r="69">
      <c r="A69" s="12">
        <v>20.0</v>
      </c>
      <c r="B69" s="12" t="s">
        <v>67</v>
      </c>
      <c r="C69" s="13" t="s">
        <v>186</v>
      </c>
      <c r="D69" s="14">
        <v>2046.0</v>
      </c>
      <c r="E69" s="16"/>
      <c r="F69" s="14">
        <f t="shared" si="5"/>
        <v>2046</v>
      </c>
      <c r="G69" s="19">
        <f t="shared" si="6"/>
        <v>42987</v>
      </c>
    </row>
    <row r="70">
      <c r="A70" s="12">
        <v>21.0</v>
      </c>
      <c r="B70" s="12" t="s">
        <v>67</v>
      </c>
      <c r="C70" s="13" t="s">
        <v>186</v>
      </c>
      <c r="D70" s="14">
        <v>2148.0</v>
      </c>
      <c r="E70" s="16"/>
      <c r="F70" s="14">
        <f t="shared" si="5"/>
        <v>2148</v>
      </c>
      <c r="G70" s="19">
        <f t="shared" si="6"/>
        <v>45135</v>
      </c>
    </row>
    <row r="71">
      <c r="A71" s="12">
        <v>22.0</v>
      </c>
      <c r="B71" s="12" t="s">
        <v>180</v>
      </c>
      <c r="C71" s="13" t="s">
        <v>196</v>
      </c>
      <c r="D71" s="14">
        <v>2879.0</v>
      </c>
      <c r="E71" s="14">
        <v>2879.0</v>
      </c>
      <c r="F71" s="14">
        <f t="shared" si="5"/>
        <v>5758</v>
      </c>
      <c r="G71" s="19">
        <f t="shared" si="6"/>
        <v>50893</v>
      </c>
    </row>
    <row r="72">
      <c r="A72" s="12">
        <v>23.0</v>
      </c>
      <c r="B72" s="12" t="s">
        <v>106</v>
      </c>
      <c r="C72" s="13" t="s">
        <v>133</v>
      </c>
      <c r="D72" s="14">
        <v>1768.0</v>
      </c>
      <c r="E72" s="16"/>
      <c r="F72" s="14">
        <f t="shared" si="5"/>
        <v>1768</v>
      </c>
      <c r="G72" s="19">
        <f t="shared" si="6"/>
        <v>52661</v>
      </c>
    </row>
    <row r="73">
      <c r="A73" s="12">
        <v>24.0</v>
      </c>
      <c r="B73" s="12" t="s">
        <v>106</v>
      </c>
      <c r="C73" s="13" t="s">
        <v>133</v>
      </c>
      <c r="D73" s="14">
        <v>1856.0</v>
      </c>
      <c r="E73" s="16"/>
      <c r="F73" s="14">
        <f t="shared" si="5"/>
        <v>1856</v>
      </c>
      <c r="G73" s="19">
        <f t="shared" si="6"/>
        <v>54517</v>
      </c>
    </row>
    <row r="74">
      <c r="A74" s="12">
        <v>25.0</v>
      </c>
      <c r="B74" s="12" t="s">
        <v>67</v>
      </c>
      <c r="C74" s="13" t="s">
        <v>186</v>
      </c>
      <c r="D74" s="14">
        <v>1768.0</v>
      </c>
      <c r="E74" s="16"/>
      <c r="F74" s="14">
        <f t="shared" si="5"/>
        <v>1768</v>
      </c>
      <c r="G74" s="19">
        <f t="shared" si="6"/>
        <v>56285</v>
      </c>
    </row>
    <row r="75">
      <c r="A75" s="12">
        <v>26.0</v>
      </c>
      <c r="B75" s="12" t="s">
        <v>67</v>
      </c>
      <c r="C75" s="13" t="s">
        <v>186</v>
      </c>
      <c r="D75" s="14">
        <v>1856.0</v>
      </c>
      <c r="E75" s="16"/>
      <c r="F75" s="14">
        <f t="shared" si="5"/>
        <v>1856</v>
      </c>
      <c r="G75" s="19">
        <f t="shared" si="6"/>
        <v>58141</v>
      </c>
    </row>
    <row r="76">
      <c r="A76" s="12">
        <v>27.0</v>
      </c>
      <c r="B76" s="12" t="s">
        <v>67</v>
      </c>
      <c r="C76" s="13" t="s">
        <v>186</v>
      </c>
      <c r="D76" s="14">
        <v>1949.0</v>
      </c>
      <c r="E76" s="16"/>
      <c r="F76" s="14">
        <f t="shared" si="5"/>
        <v>1949</v>
      </c>
      <c r="G76" s="19">
        <f t="shared" si="6"/>
        <v>60090</v>
      </c>
    </row>
    <row r="77">
      <c r="A77" s="12">
        <v>28.0</v>
      </c>
      <c r="B77" s="12" t="s">
        <v>67</v>
      </c>
      <c r="C77" s="13" t="s">
        <v>186</v>
      </c>
      <c r="D77" s="14">
        <v>2046.0</v>
      </c>
      <c r="E77" s="16"/>
      <c r="F77" s="14">
        <f t="shared" si="5"/>
        <v>2046</v>
      </c>
      <c r="G77" s="19">
        <f t="shared" si="6"/>
        <v>62136</v>
      </c>
    </row>
    <row r="78">
      <c r="A78" s="12">
        <v>29.0</v>
      </c>
      <c r="B78" s="12" t="s">
        <v>67</v>
      </c>
      <c r="C78" s="13" t="s">
        <v>186</v>
      </c>
      <c r="D78" s="14">
        <v>2148.0</v>
      </c>
      <c r="E78" s="16"/>
      <c r="F78" s="14">
        <f t="shared" si="5"/>
        <v>2148</v>
      </c>
      <c r="G78" s="19">
        <f t="shared" si="6"/>
        <v>64284</v>
      </c>
    </row>
    <row r="79">
      <c r="A79" s="12">
        <v>30.0</v>
      </c>
      <c r="B79" s="12" t="s">
        <v>67</v>
      </c>
      <c r="C79" s="13" t="s">
        <v>186</v>
      </c>
      <c r="D79" s="14">
        <v>2256.0</v>
      </c>
      <c r="E79" s="16"/>
      <c r="F79" s="14">
        <f t="shared" si="5"/>
        <v>2256</v>
      </c>
      <c r="G79" s="19">
        <f t="shared" si="6"/>
        <v>66540</v>
      </c>
    </row>
    <row r="80">
      <c r="A80" s="12">
        <v>31.0</v>
      </c>
      <c r="B80" s="12" t="s">
        <v>67</v>
      </c>
      <c r="C80" s="13" t="s">
        <v>186</v>
      </c>
      <c r="D80" s="14">
        <v>2369.0</v>
      </c>
      <c r="E80" s="16"/>
      <c r="F80" s="14">
        <f t="shared" si="5"/>
        <v>2369</v>
      </c>
      <c r="G80" s="19">
        <f t="shared" si="6"/>
        <v>68909</v>
      </c>
    </row>
    <row r="81">
      <c r="A81" s="12">
        <v>32.0</v>
      </c>
      <c r="B81" s="12" t="s">
        <v>177</v>
      </c>
      <c r="C81" s="13" t="s">
        <v>687</v>
      </c>
      <c r="D81" s="14">
        <v>2487.0</v>
      </c>
      <c r="E81" s="14">
        <v>2487.0</v>
      </c>
      <c r="F81" s="14">
        <f t="shared" si="5"/>
        <v>4974</v>
      </c>
      <c r="G81" s="19">
        <f t="shared" si="6"/>
        <v>73883</v>
      </c>
    </row>
    <row r="82">
      <c r="A82" s="12">
        <v>33.0</v>
      </c>
      <c r="B82" s="12" t="s">
        <v>106</v>
      </c>
      <c r="C82" s="13" t="s">
        <v>133</v>
      </c>
      <c r="D82" s="14">
        <v>2611.0</v>
      </c>
      <c r="E82" s="16"/>
      <c r="F82" s="14">
        <f t="shared" si="5"/>
        <v>2611</v>
      </c>
      <c r="G82" s="19">
        <f t="shared" si="6"/>
        <v>76494</v>
      </c>
    </row>
    <row r="83">
      <c r="A83" s="12">
        <v>34.0</v>
      </c>
      <c r="B83" s="12" t="s">
        <v>322</v>
      </c>
      <c r="C83" s="13" t="s">
        <v>345</v>
      </c>
      <c r="D83" s="14">
        <v>8508.0</v>
      </c>
      <c r="E83" s="16"/>
      <c r="F83" s="14">
        <f t="shared" si="5"/>
        <v>8508</v>
      </c>
      <c r="G83" s="19">
        <f t="shared" si="6"/>
        <v>85002</v>
      </c>
    </row>
    <row r="84">
      <c r="A84" s="24"/>
      <c r="B84" s="24"/>
      <c r="C84" s="26"/>
      <c r="D84" s="27">
        <v>37.0</v>
      </c>
      <c r="E84" s="28"/>
      <c r="F84" s="27">
        <f>SUM(F50:F83)</f>
        <v>85002</v>
      </c>
      <c r="G84" s="29">
        <f>G83</f>
        <v>85002</v>
      </c>
    </row>
    <row r="85">
      <c r="C85" s="30"/>
      <c r="G85" s="30"/>
    </row>
    <row r="86">
      <c r="A86" s="4" t="s">
        <v>688</v>
      </c>
      <c r="B86" s="5"/>
      <c r="C86" s="5"/>
      <c r="D86" s="5"/>
      <c r="E86" s="5"/>
      <c r="F86" s="5"/>
      <c r="G86" s="6"/>
    </row>
    <row r="87">
      <c r="A87" s="7"/>
      <c r="B87" s="8"/>
      <c r="C87" s="8"/>
      <c r="D87" s="8"/>
      <c r="E87" s="8"/>
      <c r="F87" s="8"/>
      <c r="G87" s="9"/>
    </row>
    <row r="88">
      <c r="A88" s="10"/>
      <c r="B88" s="10" t="s">
        <v>6</v>
      </c>
      <c r="C88" s="11" t="s">
        <v>7</v>
      </c>
      <c r="D88" s="10" t="s">
        <v>8</v>
      </c>
      <c r="E88" s="10" t="s">
        <v>9</v>
      </c>
      <c r="F88" s="10" t="s">
        <v>10</v>
      </c>
      <c r="G88" s="11" t="s">
        <v>11</v>
      </c>
    </row>
    <row r="89">
      <c r="A89" s="12">
        <v>1.0</v>
      </c>
      <c r="B89" s="12" t="s">
        <v>202</v>
      </c>
      <c r="C89" s="13" t="s">
        <v>599</v>
      </c>
      <c r="D89" s="14">
        <v>3729.0</v>
      </c>
      <c r="E89" s="16"/>
      <c r="F89" s="14">
        <f t="shared" ref="F89:F119" si="7">SUM(D89:E89)</f>
        <v>3729</v>
      </c>
      <c r="G89" s="19">
        <f>F89</f>
        <v>3729</v>
      </c>
    </row>
    <row r="90">
      <c r="A90" s="12">
        <v>2.0</v>
      </c>
      <c r="B90" s="12" t="s">
        <v>202</v>
      </c>
      <c r="C90" s="13" t="s">
        <v>599</v>
      </c>
      <c r="D90" s="14">
        <v>3915.0</v>
      </c>
      <c r="E90" s="16"/>
      <c r="F90" s="14">
        <f t="shared" si="7"/>
        <v>3915</v>
      </c>
      <c r="G90" s="19">
        <f t="shared" ref="G90:G119" si="8">G89+F90</f>
        <v>7644</v>
      </c>
    </row>
    <row r="91">
      <c r="A91" s="12">
        <v>3.0</v>
      </c>
      <c r="B91" s="12" t="s">
        <v>210</v>
      </c>
      <c r="C91" s="13" t="s">
        <v>365</v>
      </c>
      <c r="D91" s="14">
        <v>4111.0</v>
      </c>
      <c r="E91" s="16"/>
      <c r="F91" s="14">
        <f t="shared" si="7"/>
        <v>4111</v>
      </c>
      <c r="G91" s="19">
        <f t="shared" si="8"/>
        <v>11755</v>
      </c>
    </row>
    <row r="92">
      <c r="A92" s="12">
        <v>4.0</v>
      </c>
      <c r="B92" s="12" t="s">
        <v>210</v>
      </c>
      <c r="C92" s="13" t="s">
        <v>365</v>
      </c>
      <c r="D92" s="14">
        <v>4316.0</v>
      </c>
      <c r="E92" s="16"/>
      <c r="F92" s="14">
        <f t="shared" si="7"/>
        <v>4316</v>
      </c>
      <c r="G92" s="19">
        <f t="shared" si="8"/>
        <v>16071</v>
      </c>
    </row>
    <row r="93">
      <c r="A93" s="12">
        <v>5.0</v>
      </c>
      <c r="B93" s="12" t="s">
        <v>206</v>
      </c>
      <c r="C93" s="13" t="s">
        <v>598</v>
      </c>
      <c r="D93" s="14">
        <v>3729.0</v>
      </c>
      <c r="E93" s="16"/>
      <c r="F93" s="14">
        <f t="shared" si="7"/>
        <v>3729</v>
      </c>
      <c r="G93" s="19">
        <f t="shared" si="8"/>
        <v>19800</v>
      </c>
    </row>
    <row r="94">
      <c r="A94" s="12">
        <v>6.0</v>
      </c>
      <c r="B94" s="12" t="s">
        <v>206</v>
      </c>
      <c r="C94" s="13" t="s">
        <v>598</v>
      </c>
      <c r="D94" s="14">
        <v>3915.0</v>
      </c>
      <c r="E94" s="16"/>
      <c r="F94" s="14">
        <f t="shared" si="7"/>
        <v>3915</v>
      </c>
      <c r="G94" s="19">
        <f t="shared" si="8"/>
        <v>23715</v>
      </c>
    </row>
    <row r="95">
      <c r="A95" s="12">
        <v>7.0</v>
      </c>
      <c r="B95" s="12" t="s">
        <v>200</v>
      </c>
      <c r="C95" s="13" t="s">
        <v>362</v>
      </c>
      <c r="D95" s="14">
        <v>4111.0</v>
      </c>
      <c r="E95" s="16"/>
      <c r="F95" s="14">
        <f t="shared" si="7"/>
        <v>4111</v>
      </c>
      <c r="G95" s="19">
        <f t="shared" si="8"/>
        <v>27826</v>
      </c>
    </row>
    <row r="96">
      <c r="A96" s="12">
        <v>8.0</v>
      </c>
      <c r="B96" s="12" t="s">
        <v>200</v>
      </c>
      <c r="C96" s="13" t="s">
        <v>362</v>
      </c>
      <c r="D96" s="14">
        <v>4316.0</v>
      </c>
      <c r="E96" s="16"/>
      <c r="F96" s="14">
        <f t="shared" si="7"/>
        <v>4316</v>
      </c>
      <c r="G96" s="19">
        <f t="shared" si="8"/>
        <v>32142</v>
      </c>
    </row>
    <row r="97">
      <c r="A97" s="12">
        <v>9.0</v>
      </c>
      <c r="B97" s="12" t="s">
        <v>212</v>
      </c>
      <c r="C97" s="13" t="s">
        <v>691</v>
      </c>
      <c r="D97" s="14">
        <v>5784.0</v>
      </c>
      <c r="E97" s="16"/>
      <c r="F97" s="14">
        <f t="shared" si="7"/>
        <v>5784</v>
      </c>
      <c r="G97" s="19">
        <f t="shared" si="8"/>
        <v>37926</v>
      </c>
    </row>
    <row r="98">
      <c r="A98" s="12">
        <v>10.0</v>
      </c>
      <c r="B98" s="12" t="s">
        <v>212</v>
      </c>
      <c r="C98" s="13" t="s">
        <v>603</v>
      </c>
      <c r="D98" s="14">
        <v>6073.0</v>
      </c>
      <c r="E98" s="14">
        <v>6073.0</v>
      </c>
      <c r="F98" s="14">
        <f t="shared" si="7"/>
        <v>12146</v>
      </c>
      <c r="G98" s="19">
        <f t="shared" si="8"/>
        <v>50072</v>
      </c>
    </row>
    <row r="99">
      <c r="A99" s="12">
        <v>11.0</v>
      </c>
      <c r="B99" s="12" t="s">
        <v>157</v>
      </c>
      <c r="C99" s="13" t="s">
        <v>587</v>
      </c>
      <c r="D99" s="14">
        <v>3729.0</v>
      </c>
      <c r="E99" s="16"/>
      <c r="F99" s="14">
        <f t="shared" si="7"/>
        <v>3729</v>
      </c>
      <c r="G99" s="19">
        <f t="shared" si="8"/>
        <v>53801</v>
      </c>
    </row>
    <row r="100">
      <c r="A100" s="12">
        <v>12.0</v>
      </c>
      <c r="B100" s="12" t="s">
        <v>157</v>
      </c>
      <c r="C100" s="13" t="s">
        <v>587</v>
      </c>
      <c r="D100" s="14">
        <v>3915.0</v>
      </c>
      <c r="E100" s="16"/>
      <c r="F100" s="14">
        <f t="shared" si="7"/>
        <v>3915</v>
      </c>
      <c r="G100" s="19">
        <f t="shared" si="8"/>
        <v>57716</v>
      </c>
    </row>
    <row r="101">
      <c r="A101" s="12">
        <v>13.0</v>
      </c>
      <c r="B101" s="12" t="s">
        <v>224</v>
      </c>
      <c r="C101" s="13" t="s">
        <v>357</v>
      </c>
      <c r="D101" s="14">
        <v>4111.0</v>
      </c>
      <c r="E101" s="16"/>
      <c r="F101" s="14">
        <f t="shared" si="7"/>
        <v>4111</v>
      </c>
      <c r="G101" s="19">
        <f t="shared" si="8"/>
        <v>61827</v>
      </c>
    </row>
    <row r="102">
      <c r="A102" s="12">
        <v>14.0</v>
      </c>
      <c r="B102" s="12" t="s">
        <v>224</v>
      </c>
      <c r="C102" s="13" t="s">
        <v>357</v>
      </c>
      <c r="D102" s="14">
        <v>4316.0</v>
      </c>
      <c r="E102" s="16"/>
      <c r="F102" s="14">
        <f t="shared" si="7"/>
        <v>4316</v>
      </c>
      <c r="G102" s="19">
        <f t="shared" si="8"/>
        <v>66143</v>
      </c>
    </row>
    <row r="103">
      <c r="A103" s="12">
        <v>15.0</v>
      </c>
      <c r="B103" s="12" t="s">
        <v>218</v>
      </c>
      <c r="C103" s="13" t="s">
        <v>589</v>
      </c>
      <c r="D103" s="14">
        <v>3729.0</v>
      </c>
      <c r="E103" s="16"/>
      <c r="F103" s="14">
        <f t="shared" si="7"/>
        <v>3729</v>
      </c>
      <c r="G103" s="19">
        <f t="shared" si="8"/>
        <v>69872</v>
      </c>
    </row>
    <row r="104">
      <c r="A104" s="12">
        <v>16.0</v>
      </c>
      <c r="B104" s="12" t="s">
        <v>218</v>
      </c>
      <c r="C104" s="13" t="s">
        <v>589</v>
      </c>
      <c r="D104" s="14">
        <v>3915.0</v>
      </c>
      <c r="E104" s="16"/>
      <c r="F104" s="14">
        <f t="shared" si="7"/>
        <v>3915</v>
      </c>
      <c r="G104" s="19">
        <f t="shared" si="8"/>
        <v>73787</v>
      </c>
    </row>
    <row r="105">
      <c r="A105" s="12">
        <v>17.0</v>
      </c>
      <c r="B105" s="12" t="s">
        <v>214</v>
      </c>
      <c r="C105" s="13" t="s">
        <v>355</v>
      </c>
      <c r="D105" s="14">
        <v>4111.0</v>
      </c>
      <c r="E105" s="16"/>
      <c r="F105" s="14">
        <f t="shared" si="7"/>
        <v>4111</v>
      </c>
      <c r="G105" s="19">
        <f t="shared" si="8"/>
        <v>77898</v>
      </c>
    </row>
    <row r="106">
      <c r="A106" s="12">
        <v>18.0</v>
      </c>
      <c r="B106" s="12" t="s">
        <v>214</v>
      </c>
      <c r="C106" s="13" t="s">
        <v>355</v>
      </c>
      <c r="D106" s="14">
        <v>4316.0</v>
      </c>
      <c r="E106" s="16"/>
      <c r="F106" s="14">
        <f t="shared" si="7"/>
        <v>4316</v>
      </c>
      <c r="G106" s="19">
        <f t="shared" si="8"/>
        <v>82214</v>
      </c>
    </row>
    <row r="107">
      <c r="A107" s="12">
        <v>19.0</v>
      </c>
      <c r="B107" s="12" t="s">
        <v>230</v>
      </c>
      <c r="C107" s="13" t="s">
        <v>695</v>
      </c>
      <c r="D107" s="14">
        <v>5784.0</v>
      </c>
      <c r="E107" s="16"/>
      <c r="F107" s="14">
        <f t="shared" si="7"/>
        <v>5784</v>
      </c>
      <c r="G107" s="19">
        <f t="shared" si="8"/>
        <v>87998</v>
      </c>
    </row>
    <row r="108">
      <c r="A108" s="12">
        <v>20.0</v>
      </c>
      <c r="B108" s="12" t="s">
        <v>230</v>
      </c>
      <c r="C108" s="13" t="s">
        <v>593</v>
      </c>
      <c r="D108" s="14">
        <v>6073.0</v>
      </c>
      <c r="E108" s="14">
        <v>6073.0</v>
      </c>
      <c r="F108" s="14">
        <f t="shared" si="7"/>
        <v>12146</v>
      </c>
      <c r="G108" s="19">
        <f t="shared" si="8"/>
        <v>100144</v>
      </c>
    </row>
    <row r="109">
      <c r="A109" s="12">
        <v>21.0</v>
      </c>
      <c r="B109" s="12" t="s">
        <v>256</v>
      </c>
      <c r="C109" s="13" t="s">
        <v>696</v>
      </c>
      <c r="D109" s="14">
        <v>19786.0</v>
      </c>
      <c r="E109" s="16"/>
      <c r="F109" s="14">
        <f t="shared" si="7"/>
        <v>19786</v>
      </c>
      <c r="G109" s="19">
        <f t="shared" si="8"/>
        <v>119930</v>
      </c>
    </row>
    <row r="110">
      <c r="A110" s="12">
        <v>22.0</v>
      </c>
      <c r="B110" s="12" t="s">
        <v>234</v>
      </c>
      <c r="C110" s="13" t="s">
        <v>580</v>
      </c>
      <c r="D110" s="14">
        <v>3729.0</v>
      </c>
      <c r="E110" s="16"/>
      <c r="F110" s="14">
        <f t="shared" si="7"/>
        <v>3729</v>
      </c>
      <c r="G110" s="19">
        <f t="shared" si="8"/>
        <v>123659</v>
      </c>
    </row>
    <row r="111">
      <c r="A111" s="12">
        <v>23.0</v>
      </c>
      <c r="B111" s="12" t="s">
        <v>234</v>
      </c>
      <c r="C111" s="13" t="s">
        <v>580</v>
      </c>
      <c r="D111" s="14">
        <v>3915.0</v>
      </c>
      <c r="E111" s="16"/>
      <c r="F111" s="14">
        <f t="shared" si="7"/>
        <v>3915</v>
      </c>
      <c r="G111" s="19">
        <f t="shared" si="8"/>
        <v>127574</v>
      </c>
    </row>
    <row r="112">
      <c r="A112" s="12">
        <v>24.0</v>
      </c>
      <c r="B112" s="12" t="s">
        <v>226</v>
      </c>
      <c r="C112" s="13" t="s">
        <v>348</v>
      </c>
      <c r="D112" s="14">
        <v>4111.0</v>
      </c>
      <c r="E112" s="16"/>
      <c r="F112" s="14">
        <f t="shared" si="7"/>
        <v>4111</v>
      </c>
      <c r="G112" s="19">
        <f t="shared" si="8"/>
        <v>131685</v>
      </c>
    </row>
    <row r="113">
      <c r="A113" s="12">
        <v>25.0</v>
      </c>
      <c r="B113" s="12" t="s">
        <v>226</v>
      </c>
      <c r="C113" s="13" t="s">
        <v>348</v>
      </c>
      <c r="D113" s="14">
        <v>4316.0</v>
      </c>
      <c r="E113" s="16"/>
      <c r="F113" s="14">
        <f t="shared" si="7"/>
        <v>4316</v>
      </c>
      <c r="G113" s="19">
        <f t="shared" si="8"/>
        <v>136001</v>
      </c>
    </row>
    <row r="114">
      <c r="A114" s="12">
        <v>26.0</v>
      </c>
      <c r="B114" s="12" t="s">
        <v>237</v>
      </c>
      <c r="C114" s="13" t="s">
        <v>582</v>
      </c>
      <c r="D114" s="14">
        <v>3729.0</v>
      </c>
      <c r="E114" s="16"/>
      <c r="F114" s="14">
        <f t="shared" si="7"/>
        <v>3729</v>
      </c>
      <c r="G114" s="19">
        <f t="shared" si="8"/>
        <v>139730</v>
      </c>
    </row>
    <row r="115">
      <c r="A115" s="12">
        <v>27.0</v>
      </c>
      <c r="B115" s="12" t="s">
        <v>237</v>
      </c>
      <c r="C115" s="13" t="s">
        <v>582</v>
      </c>
      <c r="D115" s="14">
        <v>3915.0</v>
      </c>
      <c r="E115" s="16"/>
      <c r="F115" s="14">
        <f t="shared" si="7"/>
        <v>3915</v>
      </c>
      <c r="G115" s="19">
        <f t="shared" si="8"/>
        <v>143645</v>
      </c>
    </row>
    <row r="116">
      <c r="A116" s="12">
        <v>28.0</v>
      </c>
      <c r="B116" s="12" t="s">
        <v>242</v>
      </c>
      <c r="C116" s="13" t="s">
        <v>351</v>
      </c>
      <c r="D116" s="14">
        <v>4111.0</v>
      </c>
      <c r="E116" s="16"/>
      <c r="F116" s="14">
        <f t="shared" si="7"/>
        <v>4111</v>
      </c>
      <c r="G116" s="19">
        <f t="shared" si="8"/>
        <v>147756</v>
      </c>
    </row>
    <row r="117">
      <c r="A117" s="12">
        <v>29.0</v>
      </c>
      <c r="B117" s="12" t="s">
        <v>242</v>
      </c>
      <c r="C117" s="13" t="s">
        <v>351</v>
      </c>
      <c r="D117" s="14">
        <v>4316.0</v>
      </c>
      <c r="E117" s="16"/>
      <c r="F117" s="14">
        <f t="shared" si="7"/>
        <v>4316</v>
      </c>
      <c r="G117" s="19">
        <f t="shared" si="8"/>
        <v>152072</v>
      </c>
    </row>
    <row r="118">
      <c r="A118" s="12">
        <v>30.0</v>
      </c>
      <c r="B118" s="12" t="s">
        <v>244</v>
      </c>
      <c r="C118" s="13" t="s">
        <v>699</v>
      </c>
      <c r="D118" s="14">
        <v>5784.0</v>
      </c>
      <c r="E118" s="16"/>
      <c r="F118" s="14">
        <f t="shared" si="7"/>
        <v>5784</v>
      </c>
      <c r="G118" s="19">
        <f t="shared" si="8"/>
        <v>157856</v>
      </c>
    </row>
    <row r="119">
      <c r="A119" s="12">
        <v>31.0</v>
      </c>
      <c r="B119" s="12" t="s">
        <v>244</v>
      </c>
      <c r="C119" s="13" t="s">
        <v>584</v>
      </c>
      <c r="D119" s="14">
        <v>6073.0</v>
      </c>
      <c r="E119" s="14">
        <v>6073.0</v>
      </c>
      <c r="F119" s="14">
        <f t="shared" si="7"/>
        <v>12146</v>
      </c>
      <c r="G119" s="19">
        <f t="shared" si="8"/>
        <v>170002</v>
      </c>
    </row>
    <row r="120">
      <c r="A120" s="24"/>
      <c r="B120" s="24"/>
      <c r="C120" s="26"/>
      <c r="D120" s="27">
        <v>34.0</v>
      </c>
      <c r="E120" s="28"/>
      <c r="F120" s="27">
        <f>SUM(F89:F119)</f>
        <v>170002</v>
      </c>
      <c r="G120" s="29">
        <f>G119</f>
        <v>170002</v>
      </c>
    </row>
  </sheetData>
  <mergeCells count="4">
    <mergeCell ref="A1:G2"/>
    <mergeCell ref="A22:G23"/>
    <mergeCell ref="A47:G48"/>
    <mergeCell ref="A86:G87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1.29"/>
    <col customWidth="1" min="3" max="3" width="65.57"/>
    <col customWidth="1" min="4" max="5" width="7.14"/>
    <col customWidth="1" min="6" max="6" width="8.0"/>
    <col customWidth="1" min="7" max="7" width="8.57"/>
  </cols>
  <sheetData>
    <row r="1">
      <c r="A1" s="4" t="s">
        <v>298</v>
      </c>
      <c r="B1" s="5"/>
      <c r="C1" s="5"/>
      <c r="D1" s="5"/>
      <c r="E1" s="5"/>
      <c r="F1" s="5"/>
      <c r="G1" s="6"/>
    </row>
    <row r="2">
      <c r="A2" s="7"/>
      <c r="B2" s="8"/>
      <c r="C2" s="8"/>
      <c r="D2" s="8"/>
      <c r="E2" s="8"/>
      <c r="F2" s="8"/>
      <c r="G2" s="9"/>
    </row>
    <row r="3">
      <c r="A3" s="10"/>
      <c r="B3" s="10" t="s">
        <v>6</v>
      </c>
      <c r="C3" s="11" t="s">
        <v>7</v>
      </c>
      <c r="D3" s="10" t="s">
        <v>8</v>
      </c>
      <c r="E3" s="10" t="s">
        <v>9</v>
      </c>
      <c r="F3" s="10" t="s">
        <v>10</v>
      </c>
      <c r="G3" s="11" t="s">
        <v>11</v>
      </c>
    </row>
    <row r="4">
      <c r="A4" s="12">
        <v>1.0</v>
      </c>
      <c r="B4" s="12" t="s">
        <v>28</v>
      </c>
      <c r="C4" s="13" t="s">
        <v>671</v>
      </c>
      <c r="D4" s="14">
        <v>1580.0</v>
      </c>
      <c r="E4" s="16"/>
      <c r="F4" s="14">
        <f t="shared" ref="F4:F19" si="1">SUM(D4:E4)</f>
        <v>1580</v>
      </c>
      <c r="G4" s="19">
        <f>F4</f>
        <v>1580</v>
      </c>
    </row>
    <row r="5">
      <c r="A5" s="12">
        <v>2.0</v>
      </c>
      <c r="B5" s="12" t="s">
        <v>12</v>
      </c>
      <c r="C5" s="13" t="s">
        <v>567</v>
      </c>
      <c r="D5" s="14">
        <v>1299.0</v>
      </c>
      <c r="E5" s="16"/>
      <c r="F5" s="14">
        <f t="shared" si="1"/>
        <v>1299</v>
      </c>
      <c r="G5" s="19">
        <f t="shared" ref="G5:G19" si="2">G4+F5</f>
        <v>2879</v>
      </c>
    </row>
    <row r="6">
      <c r="A6" s="12">
        <v>3.0</v>
      </c>
      <c r="B6" s="12" t="s">
        <v>12</v>
      </c>
      <c r="C6" s="13" t="s">
        <v>567</v>
      </c>
      <c r="D6" s="14">
        <v>1364.0</v>
      </c>
      <c r="E6" s="16"/>
      <c r="F6" s="14">
        <f t="shared" si="1"/>
        <v>1364</v>
      </c>
      <c r="G6" s="19">
        <f t="shared" si="2"/>
        <v>4243</v>
      </c>
    </row>
    <row r="7">
      <c r="A7" s="12">
        <v>4.0</v>
      </c>
      <c r="B7" s="12" t="s">
        <v>22</v>
      </c>
      <c r="C7" s="13" t="s">
        <v>385</v>
      </c>
      <c r="D7" s="14">
        <v>1829.0</v>
      </c>
      <c r="E7" s="14">
        <v>1829.0</v>
      </c>
      <c r="F7" s="14">
        <f t="shared" si="1"/>
        <v>3658</v>
      </c>
      <c r="G7" s="19">
        <f t="shared" si="2"/>
        <v>7901</v>
      </c>
    </row>
    <row r="8">
      <c r="A8" s="12">
        <v>5.0</v>
      </c>
      <c r="B8" s="12" t="s">
        <v>12</v>
      </c>
      <c r="C8" s="13" t="s">
        <v>567</v>
      </c>
      <c r="D8" s="14">
        <v>1433.0</v>
      </c>
      <c r="E8" s="16"/>
      <c r="F8" s="14">
        <f t="shared" si="1"/>
        <v>1433</v>
      </c>
      <c r="G8" s="19">
        <f t="shared" si="2"/>
        <v>9334</v>
      </c>
    </row>
    <row r="9">
      <c r="A9" s="12">
        <v>6.0</v>
      </c>
      <c r="B9" s="12" t="s">
        <v>12</v>
      </c>
      <c r="C9" s="13" t="s">
        <v>567</v>
      </c>
      <c r="D9" s="14">
        <v>1504.0</v>
      </c>
      <c r="E9" s="16"/>
      <c r="F9" s="14">
        <f t="shared" si="1"/>
        <v>1504</v>
      </c>
      <c r="G9" s="19">
        <f t="shared" si="2"/>
        <v>10838</v>
      </c>
    </row>
    <row r="10">
      <c r="A10" s="12">
        <v>7.0</v>
      </c>
      <c r="B10" s="12" t="s">
        <v>12</v>
      </c>
      <c r="C10" s="13" t="s">
        <v>567</v>
      </c>
      <c r="D10" s="14">
        <v>1580.0</v>
      </c>
      <c r="E10" s="16"/>
      <c r="F10" s="14">
        <f t="shared" si="1"/>
        <v>1580</v>
      </c>
      <c r="G10" s="19">
        <f t="shared" si="2"/>
        <v>12418</v>
      </c>
    </row>
    <row r="11">
      <c r="A11" s="12">
        <v>8.0</v>
      </c>
      <c r="B11" s="12" t="s">
        <v>25</v>
      </c>
      <c r="C11" s="13" t="s">
        <v>573</v>
      </c>
      <c r="D11" s="14">
        <v>1299.0</v>
      </c>
      <c r="E11" s="16"/>
      <c r="F11" s="14">
        <f t="shared" si="1"/>
        <v>1299</v>
      </c>
      <c r="G11" s="19">
        <f t="shared" si="2"/>
        <v>13717</v>
      </c>
    </row>
    <row r="12">
      <c r="A12" s="12">
        <v>9.0</v>
      </c>
      <c r="B12" s="12" t="s">
        <v>22</v>
      </c>
      <c r="C12" s="13" t="s">
        <v>385</v>
      </c>
      <c r="D12" s="14">
        <v>1741.0</v>
      </c>
      <c r="E12" s="14">
        <v>1741.0</v>
      </c>
      <c r="F12" s="14">
        <f t="shared" si="1"/>
        <v>3482</v>
      </c>
      <c r="G12" s="19">
        <f t="shared" si="2"/>
        <v>17199</v>
      </c>
    </row>
    <row r="13">
      <c r="A13" s="12">
        <v>10.0</v>
      </c>
      <c r="B13" s="12" t="s">
        <v>25</v>
      </c>
      <c r="C13" s="13" t="s">
        <v>573</v>
      </c>
      <c r="D13" s="14">
        <v>1364.0</v>
      </c>
      <c r="E13" s="16"/>
      <c r="F13" s="14">
        <f t="shared" si="1"/>
        <v>1364</v>
      </c>
      <c r="G13" s="19">
        <f t="shared" si="2"/>
        <v>18563</v>
      </c>
    </row>
    <row r="14">
      <c r="A14" s="12">
        <v>11.0</v>
      </c>
      <c r="B14" s="12" t="s">
        <v>25</v>
      </c>
      <c r="C14" s="13" t="s">
        <v>573</v>
      </c>
      <c r="D14" s="14">
        <v>1433.0</v>
      </c>
      <c r="E14" s="16"/>
      <c r="F14" s="14">
        <f t="shared" si="1"/>
        <v>1433</v>
      </c>
      <c r="G14" s="19">
        <f t="shared" si="2"/>
        <v>19996</v>
      </c>
    </row>
    <row r="15">
      <c r="A15" s="12">
        <v>12.0</v>
      </c>
      <c r="B15" s="12" t="s">
        <v>22</v>
      </c>
      <c r="C15" s="13" t="s">
        <v>385</v>
      </c>
      <c r="D15" s="14">
        <v>1829.0</v>
      </c>
      <c r="E15" s="14">
        <v>1829.0</v>
      </c>
      <c r="F15" s="14">
        <f t="shared" si="1"/>
        <v>3658</v>
      </c>
      <c r="G15" s="19">
        <f t="shared" si="2"/>
        <v>23654</v>
      </c>
    </row>
    <row r="16">
      <c r="A16" s="12">
        <v>13.0</v>
      </c>
      <c r="B16" s="12" t="s">
        <v>25</v>
      </c>
      <c r="C16" s="13" t="s">
        <v>573</v>
      </c>
      <c r="D16" s="14">
        <v>1504.0</v>
      </c>
      <c r="E16" s="16"/>
      <c r="F16" s="14">
        <f t="shared" si="1"/>
        <v>1504</v>
      </c>
      <c r="G16" s="19">
        <f t="shared" si="2"/>
        <v>25158</v>
      </c>
    </row>
    <row r="17">
      <c r="A17" s="12">
        <v>14.0</v>
      </c>
      <c r="B17" s="12" t="s">
        <v>25</v>
      </c>
      <c r="C17" s="13" t="s">
        <v>573</v>
      </c>
      <c r="D17" s="14">
        <v>1580.0</v>
      </c>
      <c r="E17" s="16"/>
      <c r="F17" s="14">
        <f t="shared" si="1"/>
        <v>1580</v>
      </c>
      <c r="G17" s="19">
        <f t="shared" si="2"/>
        <v>26738</v>
      </c>
    </row>
    <row r="18">
      <c r="A18" s="12">
        <v>15.0</v>
      </c>
      <c r="B18" s="12" t="s">
        <v>28</v>
      </c>
      <c r="C18" s="13" t="s">
        <v>29</v>
      </c>
      <c r="D18" s="14">
        <v>2117.0</v>
      </c>
      <c r="E18" s="16"/>
      <c r="F18" s="14">
        <f t="shared" si="1"/>
        <v>2117</v>
      </c>
      <c r="G18" s="19">
        <f t="shared" si="2"/>
        <v>28855</v>
      </c>
    </row>
    <row r="19">
      <c r="A19" s="12">
        <v>16.0</v>
      </c>
      <c r="B19" s="12" t="s">
        <v>138</v>
      </c>
      <c r="C19" s="13" t="s">
        <v>175</v>
      </c>
      <c r="D19" s="14">
        <v>5146.0</v>
      </c>
      <c r="E19" s="16"/>
      <c r="F19" s="14">
        <f t="shared" si="1"/>
        <v>5146</v>
      </c>
      <c r="G19" s="19">
        <f t="shared" si="2"/>
        <v>34001</v>
      </c>
    </row>
    <row r="20">
      <c r="A20" s="24"/>
      <c r="B20" s="24"/>
      <c r="C20" s="26"/>
      <c r="D20" s="27">
        <v>19.0</v>
      </c>
      <c r="E20" s="28"/>
      <c r="F20" s="27">
        <f>SUM(F4:F19)</f>
        <v>34001</v>
      </c>
      <c r="G20" s="29">
        <f>G19</f>
        <v>34001</v>
      </c>
    </row>
    <row r="21">
      <c r="C21" s="30"/>
      <c r="G21" s="30"/>
    </row>
    <row r="22">
      <c r="A22" s="4" t="s">
        <v>673</v>
      </c>
      <c r="B22" s="5"/>
      <c r="C22" s="5"/>
      <c r="D22" s="5"/>
      <c r="E22" s="5"/>
      <c r="F22" s="5"/>
      <c r="G22" s="6"/>
    </row>
    <row r="23">
      <c r="A23" s="7"/>
      <c r="B23" s="8"/>
      <c r="C23" s="8"/>
      <c r="D23" s="8"/>
      <c r="E23" s="8"/>
      <c r="F23" s="8"/>
      <c r="G23" s="9"/>
    </row>
    <row r="24">
      <c r="A24" s="10"/>
      <c r="B24" s="10" t="s">
        <v>6</v>
      </c>
      <c r="C24" s="11" t="s">
        <v>7</v>
      </c>
      <c r="D24" s="10" t="s">
        <v>8</v>
      </c>
      <c r="E24" s="10" t="s">
        <v>9</v>
      </c>
      <c r="F24" s="10" t="s">
        <v>10</v>
      </c>
      <c r="G24" s="11" t="s">
        <v>11</v>
      </c>
    </row>
    <row r="25">
      <c r="A25" s="12">
        <v>1.0</v>
      </c>
      <c r="B25" s="12" t="s">
        <v>153</v>
      </c>
      <c r="C25" s="13" t="s">
        <v>675</v>
      </c>
      <c r="D25" s="14">
        <v>1790.0</v>
      </c>
      <c r="E25" s="16"/>
      <c r="F25" s="14">
        <f t="shared" ref="F25:F44" si="3">SUM(D25:E25)</f>
        <v>1790</v>
      </c>
      <c r="G25" s="19">
        <f>F25</f>
        <v>1790</v>
      </c>
    </row>
    <row r="26">
      <c r="A26" s="12">
        <v>2.0</v>
      </c>
      <c r="B26" s="12" t="s">
        <v>93</v>
      </c>
      <c r="C26" s="13" t="s">
        <v>94</v>
      </c>
      <c r="D26" s="14">
        <v>1473.0</v>
      </c>
      <c r="E26" s="16"/>
      <c r="F26" s="14">
        <f t="shared" si="3"/>
        <v>1473</v>
      </c>
      <c r="G26" s="19">
        <f t="shared" ref="G26:G44" si="4">G25+F26</f>
        <v>3263</v>
      </c>
    </row>
    <row r="27">
      <c r="A27" s="12">
        <v>3.0</v>
      </c>
      <c r="B27" s="12" t="s">
        <v>93</v>
      </c>
      <c r="C27" s="13" t="s">
        <v>544</v>
      </c>
      <c r="D27" s="14">
        <v>1546.0</v>
      </c>
      <c r="E27" s="16"/>
      <c r="F27" s="14">
        <f t="shared" si="3"/>
        <v>1546</v>
      </c>
      <c r="G27" s="19">
        <f t="shared" si="4"/>
        <v>4809</v>
      </c>
    </row>
    <row r="28">
      <c r="A28" s="12">
        <v>4.0</v>
      </c>
      <c r="B28" s="12" t="s">
        <v>93</v>
      </c>
      <c r="C28" s="13" t="s">
        <v>544</v>
      </c>
      <c r="D28" s="14">
        <v>1624.0</v>
      </c>
      <c r="E28" s="16"/>
      <c r="F28" s="14">
        <f t="shared" si="3"/>
        <v>1624</v>
      </c>
      <c r="G28" s="19">
        <f t="shared" si="4"/>
        <v>6433</v>
      </c>
    </row>
    <row r="29">
      <c r="A29" s="12">
        <v>5.0</v>
      </c>
      <c r="B29" s="12" t="s">
        <v>153</v>
      </c>
      <c r="C29" s="13" t="s">
        <v>415</v>
      </c>
      <c r="D29" s="14">
        <v>2176.0</v>
      </c>
      <c r="E29" s="14">
        <v>2176.0</v>
      </c>
      <c r="F29" s="14">
        <f t="shared" si="3"/>
        <v>4352</v>
      </c>
      <c r="G29" s="19">
        <f t="shared" si="4"/>
        <v>10785</v>
      </c>
    </row>
    <row r="30">
      <c r="A30" s="12">
        <v>6.0</v>
      </c>
      <c r="B30" s="12" t="s">
        <v>151</v>
      </c>
      <c r="C30" s="13" t="s">
        <v>590</v>
      </c>
      <c r="D30" s="14">
        <v>1790.0</v>
      </c>
      <c r="E30" s="16"/>
      <c r="F30" s="14">
        <f t="shared" si="3"/>
        <v>1790</v>
      </c>
      <c r="G30" s="19">
        <f t="shared" si="4"/>
        <v>12575</v>
      </c>
    </row>
    <row r="31">
      <c r="A31" s="12">
        <v>7.0</v>
      </c>
      <c r="B31" s="12" t="s">
        <v>151</v>
      </c>
      <c r="C31" s="13" t="s">
        <v>590</v>
      </c>
      <c r="D31" s="14">
        <v>1880.0</v>
      </c>
      <c r="E31" s="16"/>
      <c r="F31" s="14">
        <f t="shared" si="3"/>
        <v>1880</v>
      </c>
      <c r="G31" s="19">
        <f t="shared" si="4"/>
        <v>14455</v>
      </c>
    </row>
    <row r="32">
      <c r="A32" s="12">
        <v>8.0</v>
      </c>
      <c r="B32" s="12" t="s">
        <v>151</v>
      </c>
      <c r="C32" s="13" t="s">
        <v>590</v>
      </c>
      <c r="D32" s="14">
        <v>1973.0</v>
      </c>
      <c r="E32" s="16"/>
      <c r="F32" s="14">
        <f t="shared" si="3"/>
        <v>1973</v>
      </c>
      <c r="G32" s="19">
        <f t="shared" si="4"/>
        <v>16428</v>
      </c>
    </row>
    <row r="33">
      <c r="A33" s="12">
        <v>9.0</v>
      </c>
      <c r="B33" s="12" t="s">
        <v>151</v>
      </c>
      <c r="C33" s="13" t="s">
        <v>590</v>
      </c>
      <c r="D33" s="14">
        <v>2072.0</v>
      </c>
      <c r="E33" s="16"/>
      <c r="F33" s="14">
        <f t="shared" si="3"/>
        <v>2072</v>
      </c>
      <c r="G33" s="19">
        <f t="shared" si="4"/>
        <v>18500</v>
      </c>
    </row>
    <row r="34">
      <c r="A34" s="12">
        <v>10.0</v>
      </c>
      <c r="B34" s="12" t="s">
        <v>157</v>
      </c>
      <c r="C34" s="13" t="s">
        <v>678</v>
      </c>
      <c r="D34" s="14">
        <v>2176.0</v>
      </c>
      <c r="E34" s="14">
        <v>2176.0</v>
      </c>
      <c r="F34" s="14">
        <f t="shared" si="3"/>
        <v>4352</v>
      </c>
      <c r="G34" s="19">
        <f t="shared" si="4"/>
        <v>22852</v>
      </c>
    </row>
    <row r="35">
      <c r="A35" s="12">
        <v>11.0</v>
      </c>
      <c r="B35" s="12" t="s">
        <v>99</v>
      </c>
      <c r="C35" s="13" t="s">
        <v>100</v>
      </c>
      <c r="D35" s="14">
        <v>1473.0</v>
      </c>
      <c r="E35" s="16"/>
      <c r="F35" s="14">
        <f t="shared" si="3"/>
        <v>1473</v>
      </c>
      <c r="G35" s="19">
        <f t="shared" si="4"/>
        <v>24325</v>
      </c>
    </row>
    <row r="36">
      <c r="A36" s="12">
        <v>12.0</v>
      </c>
      <c r="B36" s="12" t="s">
        <v>99</v>
      </c>
      <c r="C36" s="13" t="s">
        <v>550</v>
      </c>
      <c r="D36" s="14">
        <v>1546.0</v>
      </c>
      <c r="E36" s="16"/>
      <c r="F36" s="14">
        <f t="shared" si="3"/>
        <v>1546</v>
      </c>
      <c r="G36" s="19">
        <f t="shared" si="4"/>
        <v>25871</v>
      </c>
    </row>
    <row r="37">
      <c r="A37" s="12">
        <v>13.0</v>
      </c>
      <c r="B37" s="12" t="s">
        <v>99</v>
      </c>
      <c r="C37" s="13" t="s">
        <v>550</v>
      </c>
      <c r="D37" s="14">
        <v>1624.0</v>
      </c>
      <c r="E37" s="16"/>
      <c r="F37" s="14">
        <f t="shared" si="3"/>
        <v>1624</v>
      </c>
      <c r="G37" s="19">
        <f t="shared" si="4"/>
        <v>27495</v>
      </c>
    </row>
    <row r="38">
      <c r="A38" s="12">
        <v>14.0</v>
      </c>
      <c r="B38" s="12" t="s">
        <v>153</v>
      </c>
      <c r="C38" s="13" t="s">
        <v>415</v>
      </c>
      <c r="D38" s="14">
        <v>2176.0</v>
      </c>
      <c r="E38" s="14">
        <v>2176.0</v>
      </c>
      <c r="F38" s="14">
        <f t="shared" si="3"/>
        <v>4352</v>
      </c>
      <c r="G38" s="19">
        <f t="shared" si="4"/>
        <v>31847</v>
      </c>
    </row>
    <row r="39">
      <c r="A39" s="12">
        <v>15.0</v>
      </c>
      <c r="B39" s="12" t="s">
        <v>148</v>
      </c>
      <c r="C39" s="13" t="s">
        <v>588</v>
      </c>
      <c r="D39" s="14">
        <v>1790.0</v>
      </c>
      <c r="E39" s="16"/>
      <c r="F39" s="14">
        <f t="shared" si="3"/>
        <v>1790</v>
      </c>
      <c r="G39" s="19">
        <f t="shared" si="4"/>
        <v>33637</v>
      </c>
    </row>
    <row r="40">
      <c r="A40" s="12">
        <v>16.0</v>
      </c>
      <c r="B40" s="12" t="s">
        <v>148</v>
      </c>
      <c r="C40" s="13" t="s">
        <v>588</v>
      </c>
      <c r="D40" s="14">
        <v>1880.0</v>
      </c>
      <c r="E40" s="16"/>
      <c r="F40" s="14">
        <f t="shared" si="3"/>
        <v>1880</v>
      </c>
      <c r="G40" s="19">
        <f t="shared" si="4"/>
        <v>35517</v>
      </c>
    </row>
    <row r="41">
      <c r="A41" s="12">
        <v>17.0</v>
      </c>
      <c r="B41" s="12" t="s">
        <v>148</v>
      </c>
      <c r="C41" s="13" t="s">
        <v>588</v>
      </c>
      <c r="D41" s="14">
        <v>1973.0</v>
      </c>
      <c r="E41" s="16"/>
      <c r="F41" s="14">
        <f t="shared" si="3"/>
        <v>1973</v>
      </c>
      <c r="G41" s="19">
        <f t="shared" si="4"/>
        <v>37490</v>
      </c>
    </row>
    <row r="42">
      <c r="A42" s="12">
        <v>18.0</v>
      </c>
      <c r="B42" s="12" t="s">
        <v>148</v>
      </c>
      <c r="C42" s="13" t="s">
        <v>588</v>
      </c>
      <c r="D42" s="14">
        <v>2072.0</v>
      </c>
      <c r="E42" s="16"/>
      <c r="F42" s="14">
        <f t="shared" si="3"/>
        <v>2072</v>
      </c>
      <c r="G42" s="19">
        <f t="shared" si="4"/>
        <v>39562</v>
      </c>
    </row>
    <row r="43">
      <c r="A43" s="12">
        <v>19.0</v>
      </c>
      <c r="B43" s="12" t="s">
        <v>160</v>
      </c>
      <c r="C43" s="13" t="s">
        <v>681</v>
      </c>
      <c r="D43" s="14">
        <v>2176.0</v>
      </c>
      <c r="E43" s="14">
        <v>2176.0</v>
      </c>
      <c r="F43" s="14">
        <f t="shared" si="3"/>
        <v>4352</v>
      </c>
      <c r="G43" s="19">
        <f t="shared" si="4"/>
        <v>43914</v>
      </c>
    </row>
    <row r="44">
      <c r="A44" s="12">
        <v>20.0</v>
      </c>
      <c r="B44" s="12" t="s">
        <v>165</v>
      </c>
      <c r="C44" s="13" t="s">
        <v>208</v>
      </c>
      <c r="D44" s="14">
        <v>7088.0</v>
      </c>
      <c r="E44" s="16"/>
      <c r="F44" s="14">
        <f t="shared" si="3"/>
        <v>7088</v>
      </c>
      <c r="G44" s="19">
        <f t="shared" si="4"/>
        <v>51002</v>
      </c>
    </row>
    <row r="45">
      <c r="A45" s="24"/>
      <c r="B45" s="24"/>
      <c r="C45" s="26"/>
      <c r="D45" s="27">
        <v>24.0</v>
      </c>
      <c r="E45" s="28"/>
      <c r="F45" s="27">
        <f>SUM(F25:F44)</f>
        <v>51002</v>
      </c>
      <c r="G45" s="29">
        <f>G44</f>
        <v>51002</v>
      </c>
    </row>
    <row r="46">
      <c r="C46" s="30"/>
      <c r="G46" s="30"/>
    </row>
    <row r="47">
      <c r="A47" s="4" t="s">
        <v>682</v>
      </c>
      <c r="B47" s="5"/>
      <c r="C47" s="5"/>
      <c r="D47" s="5"/>
      <c r="E47" s="5"/>
      <c r="F47" s="5"/>
      <c r="G47" s="6"/>
    </row>
    <row r="48">
      <c r="A48" s="7"/>
      <c r="B48" s="8"/>
      <c r="C48" s="8"/>
      <c r="D48" s="8"/>
      <c r="E48" s="8"/>
      <c r="F48" s="8"/>
      <c r="G48" s="9"/>
    </row>
    <row r="49">
      <c r="A49" s="10"/>
      <c r="B49" s="10" t="s">
        <v>6</v>
      </c>
      <c r="C49" s="11" t="s">
        <v>7</v>
      </c>
      <c r="D49" s="10" t="s">
        <v>8</v>
      </c>
      <c r="E49" s="10" t="s">
        <v>9</v>
      </c>
      <c r="F49" s="10" t="s">
        <v>10</v>
      </c>
      <c r="G49" s="11" t="s">
        <v>11</v>
      </c>
    </row>
    <row r="50">
      <c r="A50" s="12">
        <v>1.0</v>
      </c>
      <c r="B50" s="12" t="s">
        <v>170</v>
      </c>
      <c r="C50" s="13" t="s">
        <v>217</v>
      </c>
      <c r="D50" s="14">
        <v>1768.0</v>
      </c>
      <c r="E50" s="16"/>
      <c r="F50" s="14">
        <f t="shared" ref="F50:F83" si="5">SUM(D50:E50)</f>
        <v>1768</v>
      </c>
      <c r="G50" s="19">
        <f>F50</f>
        <v>1768</v>
      </c>
    </row>
    <row r="51">
      <c r="A51" s="12">
        <v>2.0</v>
      </c>
      <c r="B51" s="12" t="s">
        <v>170</v>
      </c>
      <c r="C51" s="13" t="s">
        <v>217</v>
      </c>
      <c r="D51" s="14">
        <v>1856.0</v>
      </c>
      <c r="E51" s="16"/>
      <c r="F51" s="14">
        <f t="shared" si="5"/>
        <v>1856</v>
      </c>
      <c r="G51" s="19">
        <f t="shared" ref="G51:G83" si="6">G50+F51</f>
        <v>3624</v>
      </c>
    </row>
    <row r="52">
      <c r="A52" s="12">
        <v>3.0</v>
      </c>
      <c r="B52" s="12" t="s">
        <v>170</v>
      </c>
      <c r="C52" s="13" t="s">
        <v>217</v>
      </c>
      <c r="D52" s="14">
        <v>1949.0</v>
      </c>
      <c r="E52" s="16"/>
      <c r="F52" s="14">
        <f t="shared" si="5"/>
        <v>1949</v>
      </c>
      <c r="G52" s="19">
        <f t="shared" si="6"/>
        <v>5573</v>
      </c>
    </row>
    <row r="53">
      <c r="A53" s="12">
        <v>4.0</v>
      </c>
      <c r="B53" s="12" t="s">
        <v>170</v>
      </c>
      <c r="C53" s="13" t="s">
        <v>217</v>
      </c>
      <c r="D53" s="14">
        <v>2046.0</v>
      </c>
      <c r="E53" s="16"/>
      <c r="F53" s="14">
        <f t="shared" si="5"/>
        <v>2046</v>
      </c>
      <c r="G53" s="19">
        <f t="shared" si="6"/>
        <v>7619</v>
      </c>
    </row>
    <row r="54">
      <c r="A54" s="12">
        <v>5.0</v>
      </c>
      <c r="B54" s="12" t="s">
        <v>170</v>
      </c>
      <c r="C54" s="13" t="s">
        <v>217</v>
      </c>
      <c r="D54" s="14">
        <v>2148.0</v>
      </c>
      <c r="E54" s="16"/>
      <c r="F54" s="14">
        <f t="shared" si="5"/>
        <v>2148</v>
      </c>
      <c r="G54" s="19">
        <f t="shared" si="6"/>
        <v>9767</v>
      </c>
    </row>
    <row r="55">
      <c r="A55" s="12">
        <v>6.0</v>
      </c>
      <c r="B55" s="12" t="s">
        <v>170</v>
      </c>
      <c r="C55" s="13" t="s">
        <v>217</v>
      </c>
      <c r="D55" s="14">
        <v>2256.0</v>
      </c>
      <c r="E55" s="16"/>
      <c r="F55" s="14">
        <f t="shared" si="5"/>
        <v>2256</v>
      </c>
      <c r="G55" s="19">
        <f t="shared" si="6"/>
        <v>12023</v>
      </c>
    </row>
    <row r="56">
      <c r="A56" s="12">
        <v>7.0</v>
      </c>
      <c r="B56" s="12" t="s">
        <v>170</v>
      </c>
      <c r="C56" s="13" t="s">
        <v>217</v>
      </c>
      <c r="D56" s="14">
        <v>2369.0</v>
      </c>
      <c r="E56" s="16"/>
      <c r="F56" s="14">
        <f t="shared" si="5"/>
        <v>2369</v>
      </c>
      <c r="G56" s="19">
        <f t="shared" si="6"/>
        <v>14392</v>
      </c>
    </row>
    <row r="57">
      <c r="A57" s="12">
        <v>8.0</v>
      </c>
      <c r="B57" s="12" t="s">
        <v>173</v>
      </c>
      <c r="C57" s="13" t="s">
        <v>685</v>
      </c>
      <c r="D57" s="14">
        <v>2487.0</v>
      </c>
      <c r="E57" s="14">
        <v>2487.0</v>
      </c>
      <c r="F57" s="14">
        <f t="shared" si="5"/>
        <v>4974</v>
      </c>
      <c r="G57" s="19">
        <f t="shared" si="6"/>
        <v>19366</v>
      </c>
    </row>
    <row r="58">
      <c r="A58" s="12">
        <v>9.0</v>
      </c>
      <c r="B58" s="12" t="s">
        <v>104</v>
      </c>
      <c r="C58" s="13" t="s">
        <v>105</v>
      </c>
      <c r="D58" s="14">
        <v>1768.0</v>
      </c>
      <c r="E58" s="16"/>
      <c r="F58" s="14">
        <f t="shared" si="5"/>
        <v>1768</v>
      </c>
      <c r="G58" s="19">
        <f t="shared" si="6"/>
        <v>21134</v>
      </c>
    </row>
    <row r="59">
      <c r="A59" s="12">
        <v>10.0</v>
      </c>
      <c r="B59" s="12" t="s">
        <v>104</v>
      </c>
      <c r="C59" s="13" t="s">
        <v>105</v>
      </c>
      <c r="D59" s="14">
        <v>1856.0</v>
      </c>
      <c r="E59" s="16"/>
      <c r="F59" s="14">
        <f t="shared" si="5"/>
        <v>1856</v>
      </c>
      <c r="G59" s="19">
        <f t="shared" si="6"/>
        <v>22990</v>
      </c>
    </row>
    <row r="60">
      <c r="A60" s="12">
        <v>11.0</v>
      </c>
      <c r="B60" s="12" t="s">
        <v>104</v>
      </c>
      <c r="C60" s="13" t="s">
        <v>105</v>
      </c>
      <c r="D60" s="14">
        <v>2611.0</v>
      </c>
      <c r="E60" s="16"/>
      <c r="F60" s="14">
        <f t="shared" si="5"/>
        <v>2611</v>
      </c>
      <c r="G60" s="19">
        <f t="shared" si="6"/>
        <v>25601</v>
      </c>
    </row>
    <row r="61">
      <c r="A61" s="12">
        <v>12.0</v>
      </c>
      <c r="B61" s="12" t="s">
        <v>170</v>
      </c>
      <c r="C61" s="13" t="s">
        <v>217</v>
      </c>
      <c r="D61" s="14">
        <v>1768.0</v>
      </c>
      <c r="E61" s="16"/>
      <c r="F61" s="14">
        <f t="shared" si="5"/>
        <v>1768</v>
      </c>
      <c r="G61" s="19">
        <f t="shared" si="6"/>
        <v>27369</v>
      </c>
    </row>
    <row r="62">
      <c r="A62" s="12">
        <v>13.0</v>
      </c>
      <c r="B62" s="12" t="s">
        <v>170</v>
      </c>
      <c r="C62" s="13" t="s">
        <v>217</v>
      </c>
      <c r="D62" s="14">
        <v>1856.0</v>
      </c>
      <c r="E62" s="16"/>
      <c r="F62" s="14">
        <f t="shared" si="5"/>
        <v>1856</v>
      </c>
      <c r="G62" s="19">
        <f t="shared" si="6"/>
        <v>29225</v>
      </c>
    </row>
    <row r="63">
      <c r="A63" s="12">
        <v>14.0</v>
      </c>
      <c r="B63" s="12" t="s">
        <v>170</v>
      </c>
      <c r="C63" s="13" t="s">
        <v>217</v>
      </c>
      <c r="D63" s="14">
        <v>1949.0</v>
      </c>
      <c r="E63" s="16"/>
      <c r="F63" s="14">
        <f t="shared" si="5"/>
        <v>1949</v>
      </c>
      <c r="G63" s="19">
        <f t="shared" si="6"/>
        <v>31174</v>
      </c>
    </row>
    <row r="64">
      <c r="A64" s="12">
        <v>15.0</v>
      </c>
      <c r="B64" s="12" t="s">
        <v>170</v>
      </c>
      <c r="C64" s="13" t="s">
        <v>217</v>
      </c>
      <c r="D64" s="14">
        <v>2046.0</v>
      </c>
      <c r="E64" s="16"/>
      <c r="F64" s="14">
        <f t="shared" si="5"/>
        <v>2046</v>
      </c>
      <c r="G64" s="19">
        <f t="shared" si="6"/>
        <v>33220</v>
      </c>
    </row>
    <row r="65">
      <c r="A65" s="12">
        <v>16.0</v>
      </c>
      <c r="B65" s="12" t="s">
        <v>170</v>
      </c>
      <c r="C65" s="13" t="s">
        <v>217</v>
      </c>
      <c r="D65" s="14">
        <v>2148.0</v>
      </c>
      <c r="E65" s="16"/>
      <c r="F65" s="14">
        <f t="shared" si="5"/>
        <v>2148</v>
      </c>
      <c r="G65" s="19">
        <f t="shared" si="6"/>
        <v>35368</v>
      </c>
    </row>
    <row r="66">
      <c r="A66" s="12">
        <v>17.0</v>
      </c>
      <c r="B66" s="12" t="s">
        <v>67</v>
      </c>
      <c r="C66" s="13" t="s">
        <v>222</v>
      </c>
      <c r="D66" s="14">
        <v>1768.0</v>
      </c>
      <c r="E66" s="16"/>
      <c r="F66" s="14">
        <f t="shared" si="5"/>
        <v>1768</v>
      </c>
      <c r="G66" s="19">
        <f t="shared" si="6"/>
        <v>37136</v>
      </c>
    </row>
    <row r="67">
      <c r="A67" s="12">
        <v>18.0</v>
      </c>
      <c r="B67" s="12" t="s">
        <v>67</v>
      </c>
      <c r="C67" s="13" t="s">
        <v>222</v>
      </c>
      <c r="D67" s="14">
        <v>1856.0</v>
      </c>
      <c r="E67" s="16"/>
      <c r="F67" s="14">
        <f t="shared" si="5"/>
        <v>1856</v>
      </c>
      <c r="G67" s="19">
        <f t="shared" si="6"/>
        <v>38992</v>
      </c>
    </row>
    <row r="68">
      <c r="A68" s="12">
        <v>19.0</v>
      </c>
      <c r="B68" s="12" t="s">
        <v>67</v>
      </c>
      <c r="C68" s="13" t="s">
        <v>222</v>
      </c>
      <c r="D68" s="14">
        <v>1949.0</v>
      </c>
      <c r="E68" s="16"/>
      <c r="F68" s="14">
        <f t="shared" si="5"/>
        <v>1949</v>
      </c>
      <c r="G68" s="19">
        <f t="shared" si="6"/>
        <v>40941</v>
      </c>
    </row>
    <row r="69">
      <c r="A69" s="12">
        <v>20.0</v>
      </c>
      <c r="B69" s="12" t="s">
        <v>67</v>
      </c>
      <c r="C69" s="13" t="s">
        <v>222</v>
      </c>
      <c r="D69" s="14">
        <v>2046.0</v>
      </c>
      <c r="E69" s="16"/>
      <c r="F69" s="14">
        <f t="shared" si="5"/>
        <v>2046</v>
      </c>
      <c r="G69" s="19">
        <f t="shared" si="6"/>
        <v>42987</v>
      </c>
    </row>
    <row r="70">
      <c r="A70" s="12">
        <v>21.0</v>
      </c>
      <c r="B70" s="12" t="s">
        <v>67</v>
      </c>
      <c r="C70" s="13" t="s">
        <v>222</v>
      </c>
      <c r="D70" s="14">
        <v>2148.0</v>
      </c>
      <c r="E70" s="16"/>
      <c r="F70" s="14">
        <f t="shared" si="5"/>
        <v>2148</v>
      </c>
      <c r="G70" s="19">
        <f t="shared" si="6"/>
        <v>45135</v>
      </c>
    </row>
    <row r="71">
      <c r="A71" s="12">
        <v>22.0</v>
      </c>
      <c r="B71" s="12" t="s">
        <v>180</v>
      </c>
      <c r="C71" s="13" t="s">
        <v>229</v>
      </c>
      <c r="D71" s="14">
        <v>2879.0</v>
      </c>
      <c r="E71" s="14">
        <v>2879.0</v>
      </c>
      <c r="F71" s="14">
        <f t="shared" si="5"/>
        <v>5758</v>
      </c>
      <c r="G71" s="19">
        <f t="shared" si="6"/>
        <v>50893</v>
      </c>
    </row>
    <row r="72">
      <c r="A72" s="12">
        <v>23.0</v>
      </c>
      <c r="B72" s="12" t="s">
        <v>106</v>
      </c>
      <c r="C72" s="13" t="s">
        <v>107</v>
      </c>
      <c r="D72" s="14">
        <v>1768.0</v>
      </c>
      <c r="E72" s="16"/>
      <c r="F72" s="14">
        <f t="shared" si="5"/>
        <v>1768</v>
      </c>
      <c r="G72" s="19">
        <f t="shared" si="6"/>
        <v>52661</v>
      </c>
    </row>
    <row r="73">
      <c r="A73" s="12">
        <v>24.0</v>
      </c>
      <c r="B73" s="12" t="s">
        <v>106</v>
      </c>
      <c r="C73" s="13" t="s">
        <v>107</v>
      </c>
      <c r="D73" s="14">
        <v>1856.0</v>
      </c>
      <c r="E73" s="16"/>
      <c r="F73" s="14">
        <f t="shared" si="5"/>
        <v>1856</v>
      </c>
      <c r="G73" s="19">
        <f t="shared" si="6"/>
        <v>54517</v>
      </c>
    </row>
    <row r="74">
      <c r="A74" s="12">
        <v>25.0</v>
      </c>
      <c r="B74" s="12" t="s">
        <v>67</v>
      </c>
      <c r="C74" s="13" t="s">
        <v>222</v>
      </c>
      <c r="D74" s="14">
        <v>1768.0</v>
      </c>
      <c r="E74" s="16"/>
      <c r="F74" s="14">
        <f t="shared" si="5"/>
        <v>1768</v>
      </c>
      <c r="G74" s="19">
        <f t="shared" si="6"/>
        <v>56285</v>
      </c>
    </row>
    <row r="75">
      <c r="A75" s="12">
        <v>26.0</v>
      </c>
      <c r="B75" s="12" t="s">
        <v>67</v>
      </c>
      <c r="C75" s="13" t="s">
        <v>222</v>
      </c>
      <c r="D75" s="14">
        <v>1856.0</v>
      </c>
      <c r="E75" s="16"/>
      <c r="F75" s="14">
        <f t="shared" si="5"/>
        <v>1856</v>
      </c>
      <c r="G75" s="19">
        <f t="shared" si="6"/>
        <v>58141</v>
      </c>
    </row>
    <row r="76">
      <c r="A76" s="12">
        <v>27.0</v>
      </c>
      <c r="B76" s="12" t="s">
        <v>67</v>
      </c>
      <c r="C76" s="13" t="s">
        <v>222</v>
      </c>
      <c r="D76" s="14">
        <v>1949.0</v>
      </c>
      <c r="E76" s="16"/>
      <c r="F76" s="14">
        <f t="shared" si="5"/>
        <v>1949</v>
      </c>
      <c r="G76" s="19">
        <f t="shared" si="6"/>
        <v>60090</v>
      </c>
    </row>
    <row r="77">
      <c r="A77" s="12">
        <v>28.0</v>
      </c>
      <c r="B77" s="12" t="s">
        <v>67</v>
      </c>
      <c r="C77" s="13" t="s">
        <v>222</v>
      </c>
      <c r="D77" s="14">
        <v>2046.0</v>
      </c>
      <c r="E77" s="16"/>
      <c r="F77" s="14">
        <f t="shared" si="5"/>
        <v>2046</v>
      </c>
      <c r="G77" s="19">
        <f t="shared" si="6"/>
        <v>62136</v>
      </c>
    </row>
    <row r="78">
      <c r="A78" s="12">
        <v>29.0</v>
      </c>
      <c r="B78" s="12" t="s">
        <v>67</v>
      </c>
      <c r="C78" s="13" t="s">
        <v>222</v>
      </c>
      <c r="D78" s="14">
        <v>2148.0</v>
      </c>
      <c r="E78" s="16"/>
      <c r="F78" s="14">
        <f t="shared" si="5"/>
        <v>2148</v>
      </c>
      <c r="G78" s="19">
        <f t="shared" si="6"/>
        <v>64284</v>
      </c>
    </row>
    <row r="79">
      <c r="A79" s="12">
        <v>30.0</v>
      </c>
      <c r="B79" s="12" t="s">
        <v>67</v>
      </c>
      <c r="C79" s="13" t="s">
        <v>222</v>
      </c>
      <c r="D79" s="14">
        <v>2256.0</v>
      </c>
      <c r="E79" s="16"/>
      <c r="F79" s="14">
        <f t="shared" si="5"/>
        <v>2256</v>
      </c>
      <c r="G79" s="19">
        <f t="shared" si="6"/>
        <v>66540</v>
      </c>
    </row>
    <row r="80">
      <c r="A80" s="12">
        <v>31.0</v>
      </c>
      <c r="B80" s="12" t="s">
        <v>67</v>
      </c>
      <c r="C80" s="13" t="s">
        <v>222</v>
      </c>
      <c r="D80" s="14">
        <v>2369.0</v>
      </c>
      <c r="E80" s="16"/>
      <c r="F80" s="14">
        <f t="shared" si="5"/>
        <v>2369</v>
      </c>
      <c r="G80" s="19">
        <f t="shared" si="6"/>
        <v>68909</v>
      </c>
    </row>
    <row r="81">
      <c r="A81" s="12">
        <v>32.0</v>
      </c>
      <c r="B81" s="12" t="s">
        <v>177</v>
      </c>
      <c r="C81" s="13" t="s">
        <v>689</v>
      </c>
      <c r="D81" s="14">
        <v>2487.0</v>
      </c>
      <c r="E81" s="14">
        <v>2487.0</v>
      </c>
      <c r="F81" s="14">
        <f t="shared" si="5"/>
        <v>4974</v>
      </c>
      <c r="G81" s="19">
        <f t="shared" si="6"/>
        <v>73883</v>
      </c>
    </row>
    <row r="82">
      <c r="A82" s="12">
        <v>33.0</v>
      </c>
      <c r="B82" s="12" t="s">
        <v>106</v>
      </c>
      <c r="C82" s="13" t="s">
        <v>107</v>
      </c>
      <c r="D82" s="14">
        <v>2611.0</v>
      </c>
      <c r="E82" s="16"/>
      <c r="F82" s="14">
        <f t="shared" si="5"/>
        <v>2611</v>
      </c>
      <c r="G82" s="19">
        <f t="shared" si="6"/>
        <v>76494</v>
      </c>
    </row>
    <row r="83">
      <c r="A83" s="12">
        <v>34.0</v>
      </c>
      <c r="B83" s="12" t="s">
        <v>322</v>
      </c>
      <c r="C83" s="13" t="s">
        <v>353</v>
      </c>
      <c r="D83" s="14">
        <v>8508.0</v>
      </c>
      <c r="E83" s="16"/>
      <c r="F83" s="14">
        <f t="shared" si="5"/>
        <v>8508</v>
      </c>
      <c r="G83" s="19">
        <f t="shared" si="6"/>
        <v>85002</v>
      </c>
    </row>
    <row r="84">
      <c r="A84" s="24"/>
      <c r="B84" s="24"/>
      <c r="C84" s="26"/>
      <c r="D84" s="27">
        <v>37.0</v>
      </c>
      <c r="E84" s="28"/>
      <c r="F84" s="27">
        <f>SUM(F50:F83)</f>
        <v>85002</v>
      </c>
      <c r="G84" s="29">
        <f>G83</f>
        <v>85002</v>
      </c>
    </row>
    <row r="85">
      <c r="C85" s="30"/>
      <c r="G85" s="30"/>
    </row>
    <row r="86">
      <c r="A86" s="4" t="s">
        <v>688</v>
      </c>
      <c r="B86" s="5"/>
      <c r="C86" s="5"/>
      <c r="D86" s="5"/>
      <c r="E86" s="5"/>
      <c r="F86" s="5"/>
      <c r="G86" s="6"/>
    </row>
    <row r="87">
      <c r="A87" s="7"/>
      <c r="B87" s="8"/>
      <c r="C87" s="8"/>
      <c r="D87" s="8"/>
      <c r="E87" s="8"/>
      <c r="F87" s="8"/>
      <c r="G87" s="9"/>
    </row>
    <row r="88">
      <c r="A88" s="10"/>
      <c r="B88" s="10" t="s">
        <v>6</v>
      </c>
      <c r="C88" s="11" t="s">
        <v>7</v>
      </c>
      <c r="D88" s="10" t="s">
        <v>8</v>
      </c>
      <c r="E88" s="10" t="s">
        <v>9</v>
      </c>
      <c r="F88" s="10" t="s">
        <v>10</v>
      </c>
      <c r="G88" s="11" t="s">
        <v>11</v>
      </c>
    </row>
    <row r="89">
      <c r="A89" s="12">
        <v>1.0</v>
      </c>
      <c r="B89" s="12" t="s">
        <v>202</v>
      </c>
      <c r="C89" s="13" t="s">
        <v>646</v>
      </c>
      <c r="D89" s="14">
        <v>3729.0</v>
      </c>
      <c r="E89" s="16"/>
      <c r="F89" s="14">
        <f t="shared" ref="F89:F119" si="7">SUM(D89:E89)</f>
        <v>3729</v>
      </c>
      <c r="G89" s="19">
        <f>F89</f>
        <v>3729</v>
      </c>
    </row>
    <row r="90">
      <c r="A90" s="12">
        <v>2.0</v>
      </c>
      <c r="B90" s="12" t="s">
        <v>202</v>
      </c>
      <c r="C90" s="13" t="s">
        <v>646</v>
      </c>
      <c r="D90" s="14">
        <v>3915.0</v>
      </c>
      <c r="E90" s="16"/>
      <c r="F90" s="14">
        <f t="shared" si="7"/>
        <v>3915</v>
      </c>
      <c r="G90" s="19">
        <f t="shared" ref="G90:G119" si="8">G89+F90</f>
        <v>7644</v>
      </c>
    </row>
    <row r="91">
      <c r="A91" s="12">
        <v>3.0</v>
      </c>
      <c r="B91" s="12" t="s">
        <v>210</v>
      </c>
      <c r="C91" s="13" t="s">
        <v>373</v>
      </c>
      <c r="D91" s="14">
        <v>4111.0</v>
      </c>
      <c r="E91" s="16"/>
      <c r="F91" s="14">
        <f t="shared" si="7"/>
        <v>4111</v>
      </c>
      <c r="G91" s="19">
        <f t="shared" si="8"/>
        <v>11755</v>
      </c>
    </row>
    <row r="92">
      <c r="A92" s="12">
        <v>4.0</v>
      </c>
      <c r="B92" s="12" t="s">
        <v>210</v>
      </c>
      <c r="C92" s="13" t="s">
        <v>373</v>
      </c>
      <c r="D92" s="14">
        <v>4316.0</v>
      </c>
      <c r="E92" s="16"/>
      <c r="F92" s="14">
        <f t="shared" si="7"/>
        <v>4316</v>
      </c>
      <c r="G92" s="19">
        <f t="shared" si="8"/>
        <v>16071</v>
      </c>
    </row>
    <row r="93">
      <c r="A93" s="12">
        <v>5.0</v>
      </c>
      <c r="B93" s="12" t="s">
        <v>206</v>
      </c>
      <c r="C93" s="13" t="s">
        <v>648</v>
      </c>
      <c r="D93" s="14">
        <v>3729.0</v>
      </c>
      <c r="E93" s="16"/>
      <c r="F93" s="14">
        <f t="shared" si="7"/>
        <v>3729</v>
      </c>
      <c r="G93" s="19">
        <f t="shared" si="8"/>
        <v>19800</v>
      </c>
    </row>
    <row r="94">
      <c r="A94" s="12">
        <v>6.0</v>
      </c>
      <c r="B94" s="12" t="s">
        <v>206</v>
      </c>
      <c r="C94" s="13" t="s">
        <v>648</v>
      </c>
      <c r="D94" s="14">
        <v>3915.0</v>
      </c>
      <c r="E94" s="16"/>
      <c r="F94" s="14">
        <f t="shared" si="7"/>
        <v>3915</v>
      </c>
      <c r="G94" s="19">
        <f t="shared" si="8"/>
        <v>23715</v>
      </c>
    </row>
    <row r="95">
      <c r="A95" s="12">
        <v>7.0</v>
      </c>
      <c r="B95" s="12" t="s">
        <v>200</v>
      </c>
      <c r="C95" s="13" t="s">
        <v>368</v>
      </c>
      <c r="D95" s="14">
        <v>4111.0</v>
      </c>
      <c r="E95" s="16"/>
      <c r="F95" s="14">
        <f t="shared" si="7"/>
        <v>4111</v>
      </c>
      <c r="G95" s="19">
        <f t="shared" si="8"/>
        <v>27826</v>
      </c>
    </row>
    <row r="96">
      <c r="A96" s="12">
        <v>8.0</v>
      </c>
      <c r="B96" s="12" t="s">
        <v>200</v>
      </c>
      <c r="C96" s="13" t="s">
        <v>368</v>
      </c>
      <c r="D96" s="14">
        <v>4316.0</v>
      </c>
      <c r="E96" s="16"/>
      <c r="F96" s="14">
        <f t="shared" si="7"/>
        <v>4316</v>
      </c>
      <c r="G96" s="19">
        <f t="shared" si="8"/>
        <v>32142</v>
      </c>
    </row>
    <row r="97">
      <c r="A97" s="12">
        <v>9.0</v>
      </c>
      <c r="B97" s="12" t="s">
        <v>212</v>
      </c>
      <c r="C97" s="13" t="s">
        <v>692</v>
      </c>
      <c r="D97" s="14">
        <v>5784.0</v>
      </c>
      <c r="E97" s="16"/>
      <c r="F97" s="14">
        <f t="shared" si="7"/>
        <v>5784</v>
      </c>
      <c r="G97" s="19">
        <f t="shared" si="8"/>
        <v>37926</v>
      </c>
    </row>
    <row r="98">
      <c r="A98" s="12">
        <v>10.0</v>
      </c>
      <c r="B98" s="12" t="s">
        <v>212</v>
      </c>
      <c r="C98" s="13" t="s">
        <v>653</v>
      </c>
      <c r="D98" s="14">
        <v>6073.0</v>
      </c>
      <c r="E98" s="14">
        <v>6073.0</v>
      </c>
      <c r="F98" s="14">
        <f t="shared" si="7"/>
        <v>12146</v>
      </c>
      <c r="G98" s="19">
        <f t="shared" si="8"/>
        <v>50072</v>
      </c>
    </row>
    <row r="99">
      <c r="A99" s="12">
        <v>11.0</v>
      </c>
      <c r="B99" s="12" t="s">
        <v>157</v>
      </c>
      <c r="C99" s="13" t="s">
        <v>659</v>
      </c>
      <c r="D99" s="14">
        <v>3729.0</v>
      </c>
      <c r="E99" s="16"/>
      <c r="F99" s="14">
        <f t="shared" si="7"/>
        <v>3729</v>
      </c>
      <c r="G99" s="19">
        <f t="shared" si="8"/>
        <v>53801</v>
      </c>
    </row>
    <row r="100">
      <c r="A100" s="12">
        <v>12.0</v>
      </c>
      <c r="B100" s="12" t="s">
        <v>157</v>
      </c>
      <c r="C100" s="13" t="s">
        <v>659</v>
      </c>
      <c r="D100" s="14">
        <v>3915.0</v>
      </c>
      <c r="E100" s="16"/>
      <c r="F100" s="14">
        <f t="shared" si="7"/>
        <v>3915</v>
      </c>
      <c r="G100" s="19">
        <f t="shared" si="8"/>
        <v>57716</v>
      </c>
    </row>
    <row r="101">
      <c r="A101" s="12">
        <v>13.0</v>
      </c>
      <c r="B101" s="12" t="s">
        <v>224</v>
      </c>
      <c r="C101" s="13" t="s">
        <v>379</v>
      </c>
      <c r="D101" s="14">
        <v>4111.0</v>
      </c>
      <c r="E101" s="16"/>
      <c r="F101" s="14">
        <f t="shared" si="7"/>
        <v>4111</v>
      </c>
      <c r="G101" s="19">
        <f t="shared" si="8"/>
        <v>61827</v>
      </c>
    </row>
    <row r="102">
      <c r="A102" s="12">
        <v>14.0</v>
      </c>
      <c r="B102" s="12" t="s">
        <v>224</v>
      </c>
      <c r="C102" s="13" t="s">
        <v>379</v>
      </c>
      <c r="D102" s="14">
        <v>4316.0</v>
      </c>
      <c r="E102" s="16"/>
      <c r="F102" s="14">
        <f t="shared" si="7"/>
        <v>4316</v>
      </c>
      <c r="G102" s="19">
        <f t="shared" si="8"/>
        <v>66143</v>
      </c>
    </row>
    <row r="103">
      <c r="A103" s="12">
        <v>15.0</v>
      </c>
      <c r="B103" s="12" t="s">
        <v>218</v>
      </c>
      <c r="C103" s="13" t="s">
        <v>656</v>
      </c>
      <c r="D103" s="14">
        <v>3729.0</v>
      </c>
      <c r="E103" s="16"/>
      <c r="F103" s="14">
        <f t="shared" si="7"/>
        <v>3729</v>
      </c>
      <c r="G103" s="19">
        <f t="shared" si="8"/>
        <v>69872</v>
      </c>
    </row>
    <row r="104">
      <c r="A104" s="12">
        <v>16.0</v>
      </c>
      <c r="B104" s="12" t="s">
        <v>218</v>
      </c>
      <c r="C104" s="13" t="s">
        <v>656</v>
      </c>
      <c r="D104" s="14">
        <v>3915.0</v>
      </c>
      <c r="E104" s="16"/>
      <c r="F104" s="14">
        <f t="shared" si="7"/>
        <v>3915</v>
      </c>
      <c r="G104" s="19">
        <f t="shared" si="8"/>
        <v>73787</v>
      </c>
    </row>
    <row r="105">
      <c r="A105" s="12">
        <v>17.0</v>
      </c>
      <c r="B105" s="12" t="s">
        <v>214</v>
      </c>
      <c r="C105" s="13" t="s">
        <v>377</v>
      </c>
      <c r="D105" s="14">
        <v>4111.0</v>
      </c>
      <c r="E105" s="16"/>
      <c r="F105" s="14">
        <f t="shared" si="7"/>
        <v>4111</v>
      </c>
      <c r="G105" s="19">
        <f t="shared" si="8"/>
        <v>77898</v>
      </c>
    </row>
    <row r="106">
      <c r="A106" s="12">
        <v>18.0</v>
      </c>
      <c r="B106" s="12" t="s">
        <v>214</v>
      </c>
      <c r="C106" s="13" t="s">
        <v>377</v>
      </c>
      <c r="D106" s="14">
        <v>4316.0</v>
      </c>
      <c r="E106" s="16"/>
      <c r="F106" s="14">
        <f t="shared" si="7"/>
        <v>4316</v>
      </c>
      <c r="G106" s="19">
        <f t="shared" si="8"/>
        <v>82214</v>
      </c>
    </row>
    <row r="107">
      <c r="A107" s="12">
        <v>19.0</v>
      </c>
      <c r="B107" s="12" t="s">
        <v>230</v>
      </c>
      <c r="C107" s="13" t="s">
        <v>693</v>
      </c>
      <c r="D107" s="14">
        <v>5784.0</v>
      </c>
      <c r="E107" s="16"/>
      <c r="F107" s="14">
        <f t="shared" si="7"/>
        <v>5784</v>
      </c>
      <c r="G107" s="19">
        <f t="shared" si="8"/>
        <v>87998</v>
      </c>
    </row>
    <row r="108">
      <c r="A108" s="12">
        <v>20.0</v>
      </c>
      <c r="B108" s="12" t="s">
        <v>230</v>
      </c>
      <c r="C108" s="13" t="s">
        <v>661</v>
      </c>
      <c r="D108" s="14">
        <v>6073.0</v>
      </c>
      <c r="E108" s="14">
        <v>6073.0</v>
      </c>
      <c r="F108" s="14">
        <f t="shared" si="7"/>
        <v>12146</v>
      </c>
      <c r="G108" s="19">
        <f t="shared" si="8"/>
        <v>100144</v>
      </c>
    </row>
    <row r="109">
      <c r="A109" s="12">
        <v>21.0</v>
      </c>
      <c r="B109" s="12" t="s">
        <v>275</v>
      </c>
      <c r="C109" s="13" t="s">
        <v>694</v>
      </c>
      <c r="D109" s="14">
        <v>19786.0</v>
      </c>
      <c r="E109" s="16"/>
      <c r="F109" s="14">
        <f t="shared" si="7"/>
        <v>19786</v>
      </c>
      <c r="G109" s="19">
        <f t="shared" si="8"/>
        <v>119930</v>
      </c>
    </row>
    <row r="110">
      <c r="A110" s="12">
        <v>22.0</v>
      </c>
      <c r="B110" s="12" t="s">
        <v>234</v>
      </c>
      <c r="C110" s="13" t="s">
        <v>665</v>
      </c>
      <c r="D110" s="14">
        <v>3729.0</v>
      </c>
      <c r="E110" s="16"/>
      <c r="F110" s="14">
        <f t="shared" si="7"/>
        <v>3729</v>
      </c>
      <c r="G110" s="19">
        <f t="shared" si="8"/>
        <v>123659</v>
      </c>
    </row>
    <row r="111">
      <c r="A111" s="12">
        <v>23.0</v>
      </c>
      <c r="B111" s="12" t="s">
        <v>234</v>
      </c>
      <c r="C111" s="13" t="s">
        <v>665</v>
      </c>
      <c r="D111" s="14">
        <v>3915.0</v>
      </c>
      <c r="E111" s="16"/>
      <c r="F111" s="14">
        <f t="shared" si="7"/>
        <v>3915</v>
      </c>
      <c r="G111" s="19">
        <f t="shared" si="8"/>
        <v>127574</v>
      </c>
    </row>
    <row r="112">
      <c r="A112" s="12">
        <v>24.0</v>
      </c>
      <c r="B112" s="12" t="s">
        <v>226</v>
      </c>
      <c r="C112" s="13" t="s">
        <v>383</v>
      </c>
      <c r="D112" s="14">
        <v>4111.0</v>
      </c>
      <c r="E112" s="16"/>
      <c r="F112" s="14">
        <f t="shared" si="7"/>
        <v>4111</v>
      </c>
      <c r="G112" s="19">
        <f t="shared" si="8"/>
        <v>131685</v>
      </c>
    </row>
    <row r="113">
      <c r="A113" s="12">
        <v>25.0</v>
      </c>
      <c r="B113" s="12" t="s">
        <v>226</v>
      </c>
      <c r="C113" s="13" t="s">
        <v>383</v>
      </c>
      <c r="D113" s="14">
        <v>4316.0</v>
      </c>
      <c r="E113" s="16"/>
      <c r="F113" s="14">
        <f t="shared" si="7"/>
        <v>4316</v>
      </c>
      <c r="G113" s="19">
        <f t="shared" si="8"/>
        <v>136001</v>
      </c>
    </row>
    <row r="114">
      <c r="A114" s="12">
        <v>26.0</v>
      </c>
      <c r="B114" s="12" t="s">
        <v>237</v>
      </c>
      <c r="C114" s="13" t="s">
        <v>664</v>
      </c>
      <c r="D114" s="14">
        <v>3729.0</v>
      </c>
      <c r="E114" s="16"/>
      <c r="F114" s="14">
        <f t="shared" si="7"/>
        <v>3729</v>
      </c>
      <c r="G114" s="19">
        <f t="shared" si="8"/>
        <v>139730</v>
      </c>
    </row>
    <row r="115">
      <c r="A115" s="12">
        <v>27.0</v>
      </c>
      <c r="B115" s="12" t="s">
        <v>237</v>
      </c>
      <c r="C115" s="13" t="s">
        <v>664</v>
      </c>
      <c r="D115" s="14">
        <v>3915.0</v>
      </c>
      <c r="E115" s="16"/>
      <c r="F115" s="14">
        <f t="shared" si="7"/>
        <v>3915</v>
      </c>
      <c r="G115" s="19">
        <f t="shared" si="8"/>
        <v>143645</v>
      </c>
    </row>
    <row r="116">
      <c r="A116" s="12">
        <v>28.0</v>
      </c>
      <c r="B116" s="12" t="s">
        <v>242</v>
      </c>
      <c r="C116" s="13" t="s">
        <v>386</v>
      </c>
      <c r="D116" s="14">
        <v>4111.0</v>
      </c>
      <c r="E116" s="16"/>
      <c r="F116" s="14">
        <f t="shared" si="7"/>
        <v>4111</v>
      </c>
      <c r="G116" s="19">
        <f t="shared" si="8"/>
        <v>147756</v>
      </c>
    </row>
    <row r="117">
      <c r="A117" s="12">
        <v>29.0</v>
      </c>
      <c r="B117" s="12" t="s">
        <v>242</v>
      </c>
      <c r="C117" s="13" t="s">
        <v>386</v>
      </c>
      <c r="D117" s="14">
        <v>4316.0</v>
      </c>
      <c r="E117" s="16"/>
      <c r="F117" s="14">
        <f t="shared" si="7"/>
        <v>4316</v>
      </c>
      <c r="G117" s="19">
        <f t="shared" si="8"/>
        <v>152072</v>
      </c>
    </row>
    <row r="118">
      <c r="A118" s="12">
        <v>30.0</v>
      </c>
      <c r="B118" s="12" t="s">
        <v>244</v>
      </c>
      <c r="C118" s="13" t="s">
        <v>697</v>
      </c>
      <c r="D118" s="14">
        <v>5784.0</v>
      </c>
      <c r="E118" s="16"/>
      <c r="F118" s="14">
        <f t="shared" si="7"/>
        <v>5784</v>
      </c>
      <c r="G118" s="19">
        <f t="shared" si="8"/>
        <v>157856</v>
      </c>
    </row>
    <row r="119">
      <c r="A119" s="12">
        <v>31.0</v>
      </c>
      <c r="B119" s="12" t="s">
        <v>244</v>
      </c>
      <c r="C119" s="13" t="s">
        <v>668</v>
      </c>
      <c r="D119" s="14">
        <v>6073.0</v>
      </c>
      <c r="E119" s="14">
        <v>6073.0</v>
      </c>
      <c r="F119" s="14">
        <f t="shared" si="7"/>
        <v>12146</v>
      </c>
      <c r="G119" s="19">
        <f t="shared" si="8"/>
        <v>170002</v>
      </c>
    </row>
    <row r="120">
      <c r="A120" s="24"/>
      <c r="B120" s="24"/>
      <c r="C120" s="26"/>
      <c r="D120" s="27">
        <v>34.0</v>
      </c>
      <c r="E120" s="28"/>
      <c r="F120" s="27">
        <f>SUM(F89:F119)</f>
        <v>170002</v>
      </c>
      <c r="G120" s="29">
        <f>G119</f>
        <v>170002</v>
      </c>
    </row>
  </sheetData>
  <mergeCells count="4">
    <mergeCell ref="A1:G2"/>
    <mergeCell ref="A22:G23"/>
    <mergeCell ref="A47:G48"/>
    <mergeCell ref="A86:G87"/>
  </mergeCell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